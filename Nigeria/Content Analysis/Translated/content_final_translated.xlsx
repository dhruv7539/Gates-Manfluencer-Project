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gba John Doe" sheetId="2" state="visible" r:id="rId2"/>
    <sheet xmlns:r="http://schemas.openxmlformats.org/officeDocument/2006/relationships" name="Banky Wellington" sheetId="3" state="visible" r:id="rId3"/>
    <sheet xmlns:r="http://schemas.openxmlformats.org/officeDocument/2006/relationships" name="Deyemi Okanlawon" sheetId="4" state="visible" r:id="rId4"/>
    <sheet xmlns:r="http://schemas.openxmlformats.org/officeDocument/2006/relationships" name="Ebuka Obi-Uchendu" sheetId="5" state="visible" r:id="rId5"/>
    <sheet xmlns:r="http://schemas.openxmlformats.org/officeDocument/2006/relationships" name="Shola" sheetId="6" state="visible" r:id="rId6"/>
    <sheet xmlns:r="http://schemas.openxmlformats.org/officeDocument/2006/relationships" name="Wizarab"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creator</t>
        </is>
      </c>
      <c r="B1" s="1" t="inlineStr">
        <is>
          <t>segments</t>
        </is>
      </c>
    </row>
    <row r="2">
      <c r="A2" t="inlineStr">
        <is>
          <t>Agba John Doe</t>
        </is>
      </c>
      <c r="B2" t="n">
        <v>52</v>
      </c>
    </row>
    <row r="3">
      <c r="A3" t="inlineStr">
        <is>
          <t>Banky Wellington</t>
        </is>
      </c>
      <c r="B3" t="n">
        <v>76</v>
      </c>
    </row>
    <row r="4">
      <c r="A4" t="inlineStr">
        <is>
          <t>Deyemi Okanlawon</t>
        </is>
      </c>
      <c r="B4" t="n">
        <v>24</v>
      </c>
    </row>
    <row r="5">
      <c r="A5" t="inlineStr">
        <is>
          <t>Ebuka Obi-Uchendu</t>
        </is>
      </c>
      <c r="B5" t="n">
        <v>37</v>
      </c>
    </row>
    <row r="6">
      <c r="A6" t="inlineStr">
        <is>
          <t>Shola</t>
        </is>
      </c>
      <c r="B6" t="n">
        <v>72</v>
      </c>
    </row>
    <row r="7">
      <c r="A7" t="inlineStr">
        <is>
          <t>Wizarab</t>
        </is>
      </c>
      <c r="B7" t="n">
        <v>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inlineStr">
        <is>
          <t>content_id</t>
        </is>
      </c>
      <c r="B1" s="1" t="inlineStr">
        <is>
          <t>creator</t>
        </is>
      </c>
      <c r="C1" s="1" t="inlineStr">
        <is>
          <t>platform</t>
        </is>
      </c>
      <c r="D1" s="1" t="inlineStr">
        <is>
          <t>content_type</t>
        </is>
      </c>
      <c r="E1" s="1" t="inlineStr">
        <is>
          <t>source_url</t>
        </is>
      </c>
      <c r="F1" s="1" t="inlineStr">
        <is>
          <t>context</t>
        </is>
      </c>
      <c r="G1" s="1" t="inlineStr">
        <is>
          <t>text_original</t>
        </is>
      </c>
      <c r="H1" s="1" t="inlineStr">
        <is>
          <t>text_english</t>
        </is>
      </c>
      <c r="I1" s="1" t="inlineStr">
        <is>
          <t>language_detected</t>
        </is>
      </c>
    </row>
    <row r="2">
      <c r="A2" t="inlineStr">
        <is>
          <t>AGB_001</t>
        </is>
      </c>
      <c r="B2" t="inlineStr">
        <is>
          <t>Agba John Doe</t>
        </is>
      </c>
      <c r="C2" t="inlineStr">
        <is>
          <t>X</t>
        </is>
      </c>
      <c r="D2" t="inlineStr">
        <is>
          <t>Tweet</t>
        </is>
      </c>
      <c r="E2">
        <f>HYPERLINK("https://x.com/jon_d_doe/status/1686113646470901760","https://x.com/jon_d_doe/status/1686113646470901760")</f>
        <v/>
      </c>
      <c r="F2" t="inlineStr">
        <is>
          <t>Agba John Doe mocks 'my body my choice' women, implying sexual acts are needed to make husbands happy.</t>
        </is>
      </c>
      <c r="G2" t="inlineStr">
        <is>
          <t>DM meant for premium Agbafians. But let me just share it here. So all these "my body my choice" woke women will learn. She said she made her husband happy. What does that mean? She gave him snake in the monkey shadow style [a euphemism for a sexual act] 😂😂😂😂. Read 👇 https://t.co/Inr2B4BR7S</t>
        </is>
      </c>
      <c r="H2" t="inlineStr">
        <is>
          <t>DM meant for premium Agbafians. But let me just share it here so all these "my body my choice" woke women will learn. She said she made her husband happy. What does that mean? She gave him snake in the monkey shadow style 😂😂😂😂. Read 👇 https://t.co/Inr2B4BR7S</t>
        </is>
      </c>
      <c r="I2" t="inlineStr">
        <is>
          <t>Mixed (Pidgin + English)</t>
        </is>
      </c>
    </row>
    <row r="3">
      <c r="A3" t="inlineStr">
        <is>
          <t>AGB_002</t>
        </is>
      </c>
      <c r="B3" t="inlineStr">
        <is>
          <t>Agba John Doe</t>
        </is>
      </c>
      <c r="C3" t="inlineStr">
        <is>
          <t>X</t>
        </is>
      </c>
      <c r="D3" t="inlineStr">
        <is>
          <t>Tweet</t>
        </is>
      </c>
      <c r="E3">
        <f>HYPERLINK("https://x.com/jon_d_doe/status/1686081505393553408","https://x.com/jon_d_doe/status/1686081505393553408")</f>
        <v/>
      </c>
      <c r="F3" t="inlineStr">
        <is>
          <t>Agba John Doe suggests married women should differ from singles, implying submission or financial dependence on husbands.</t>
        </is>
      </c>
      <c r="G3"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c r="H3" t="inlineStr">
        <is>
          <t>A woman must show a clear difference from a single woman. So for me, all those men married to such women are either naive, encouraging their wives, or the wives are the ones supporting them. I was naive, and it took years before I realized my mistake. That's growth. The end.</t>
        </is>
      </c>
      <c r="I3" t="inlineStr">
        <is>
          <t>English</t>
        </is>
      </c>
    </row>
    <row r="4">
      <c r="A4" t="inlineStr">
        <is>
          <t>AGB_003</t>
        </is>
      </c>
      <c r="B4" t="inlineStr">
        <is>
          <t>Agba John Doe</t>
        </is>
      </c>
      <c r="C4" t="inlineStr">
        <is>
          <t>X</t>
        </is>
      </c>
      <c r="D4" t="inlineStr">
        <is>
          <t>Tweet</t>
        </is>
      </c>
      <c r="E4">
        <f>HYPERLINK("https://x.com/jon_d_doe/status/1674877960300511234","https://x.com/jon_d_doe/status/1674877960300511234")</f>
        <v/>
      </c>
      <c r="F4" t="inlineStr">
        <is>
          <t>Agba John Doe criticizes women for sexual behavior and expectations, using derogatory language like 'knack (have sex)' and implying hypocrisy.</t>
        </is>
      </c>
      <c r="G4" t="inlineStr">
        <is>
          <t>You behave like a hoe. You bill him. You tell him that you're bad bitch. You tell him that 5 men have knacked you. Then, he finally gets his chance to knack you. After knacking, you ask him.. "what are we now?" We are pencils in the hands of the creator. End.</t>
        </is>
      </c>
      <c r="H4" t="inlineStr">
        <is>
          <t>You act like a promiscuous person. You charge him for your time. You tell him you're a confident woman. You mention that you've been with five men. Then, when he finally gets the chance to be with you, you ask him, "What are we now?" We are like pencils in the hands of the creator. End.</t>
        </is>
      </c>
      <c r="I4" t="inlineStr">
        <is>
          <t>Mixed (Pidgin + English)</t>
        </is>
      </c>
    </row>
    <row r="5">
      <c r="A5" t="inlineStr">
        <is>
          <t>AGB_004</t>
        </is>
      </c>
      <c r="B5" t="inlineStr">
        <is>
          <t>Agba John Doe</t>
        </is>
      </c>
      <c r="C5" t="inlineStr">
        <is>
          <t>X</t>
        </is>
      </c>
      <c r="D5" t="inlineStr">
        <is>
          <t>Tweet</t>
        </is>
      </c>
      <c r="E5">
        <f>HYPERLINK("https://x.com/jon_d_doe/status/1674876125061816321","https://x.com/jon_d_doe/status/1674876125061816321")</f>
        <v/>
      </c>
      <c r="F5" t="inlineStr">
        <is>
          <t>Agba John Doe advises men to avoid spending money on women dressed skimpily, implying they are manipulative and warning they won't 'knack' (have sex) despite the spending.</t>
        </is>
      </c>
      <c r="G5" t="inlineStr">
        <is>
          <t>If you're hanging out with random ladies that are dressed skimpy. Just make sure you don't show them my tweets or discuss the tweets. If not, you'll spend plenty money &amp; you will not knack ooo. Don't say it was àgbá [elder] that spoilt your show ooo. Act like you don't care. End.</t>
        </is>
      </c>
      <c r="H5" t="inlineStr">
        <is>
          <t>If you're hanging out with random women who are dressed provocatively, just make sure you don't show them my tweets or talk about them. Otherwise, you'll end up spending a lot of money and you won't even get to sleep with anyone. Don't say it was an elder who ruined your chances. Act like you don't care. End.</t>
        </is>
      </c>
      <c r="I5" t="inlineStr">
        <is>
          <t>Mixed (Pidgin + English)</t>
        </is>
      </c>
    </row>
    <row r="6">
      <c r="A6" t="inlineStr">
        <is>
          <t>AGB_005</t>
        </is>
      </c>
      <c r="B6" t="inlineStr">
        <is>
          <t>Agba John Doe</t>
        </is>
      </c>
      <c r="C6" t="inlineStr">
        <is>
          <t>X</t>
        </is>
      </c>
      <c r="D6" t="inlineStr">
        <is>
          <t>Tweet</t>
        </is>
      </c>
      <c r="E6">
        <f>HYPERLINK("https://x.com/jon_d_doe/status/1674869498929635350","https://x.com/jon_d_doe/status/1674869498929635350")</f>
        <v/>
      </c>
      <c r="F6" t="inlineStr">
        <is>
          <t>Agba John Doe criticizes women for dressing provocatively and covering up, using derogatory language.</t>
        </is>
      </c>
      <c r="G6" t="inlineStr">
        <is>
          <t>You won't wear bra, but when you want to take pics to post on the net, you'll cover the nipple with your fingers. You'll wear skimpy skirts, when you start shaking your bumbum [butt] for the net, you'll be using your hands to pull down the skirts so your butts don't show. Idiot. End.</t>
        </is>
      </c>
      <c r="H6" t="inlineStr">
        <is>
          <t>You won't wear a bra, but when you want to take pictures to post online, you'll cover your nipples with your fingers. You'll wear short skirts, and when you start shaking your butt for the internet, you'll be pulling down the skirts so your butt doesn't show. Fool. End.</t>
        </is>
      </c>
      <c r="I6" t="inlineStr">
        <is>
          <t>Mixed (Pidgin + English)</t>
        </is>
      </c>
    </row>
    <row r="7">
      <c r="A7" t="inlineStr">
        <is>
          <t>AGB_006</t>
        </is>
      </c>
      <c r="B7" t="inlineStr">
        <is>
          <t>Agba John Doe</t>
        </is>
      </c>
      <c r="C7" t="inlineStr">
        <is>
          <t>X</t>
        </is>
      </c>
      <c r="D7" t="inlineStr">
        <is>
          <t>Tweet</t>
        </is>
      </c>
      <c r="E7">
        <f>HYPERLINK("https://x.com/jon_d_doe/status/1674856675990200329","https://x.com/jon_d_doe/status/1674856675990200329")</f>
        <v/>
      </c>
      <c r="F7" t="inlineStr">
        <is>
          <t>Agba John Doe claims women who sexualize themselves publicly are unfit for marriage or motherhood.</t>
        </is>
      </c>
      <c r="G7"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H7"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I7" t="inlineStr">
        <is>
          <t>English</t>
        </is>
      </c>
    </row>
    <row r="8">
      <c r="A8" t="inlineStr">
        <is>
          <t>AGB_007</t>
        </is>
      </c>
      <c r="B8" t="inlineStr">
        <is>
          <t>Agba John Doe</t>
        </is>
      </c>
      <c r="C8" t="inlineStr">
        <is>
          <t>X</t>
        </is>
      </c>
      <c r="D8" t="inlineStr">
        <is>
          <t>Tweet</t>
        </is>
      </c>
      <c r="E8">
        <f>HYPERLINK("https://x.com/jon_d_doe/status/1674854532285620224","https://x.com/jon_d_doe/status/1674854532285620224")</f>
        <v/>
      </c>
      <c r="F8" t="inlineStr">
        <is>
          <t>Agba John Doe warns against women who show their bodies publicly, implying they are dangerous.</t>
        </is>
      </c>
      <c r="G8"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H8"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I8" t="inlineStr">
        <is>
          <t>English</t>
        </is>
      </c>
    </row>
    <row r="9">
      <c r="A9" t="inlineStr">
        <is>
          <t>AGB_008</t>
        </is>
      </c>
      <c r="B9" t="inlineStr">
        <is>
          <t>Agba John Doe</t>
        </is>
      </c>
      <c r="C9" t="inlineStr">
        <is>
          <t>X</t>
        </is>
      </c>
      <c r="D9" t="inlineStr">
        <is>
          <t>Tweet</t>
        </is>
      </c>
      <c r="E9">
        <f>HYPERLINK("https://x.com/jon_d_doe/status/1664013082002092033","https://x.com/jon_d_doe/status/1664013082002092033")</f>
        <v/>
      </c>
      <c r="F9" t="inlineStr">
        <is>
          <t>Agba John Doe advises not to be deceived by social media images of couples, suggesting body language reveals true relationship status.</t>
        </is>
      </c>
      <c r="G9"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H9"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I9" t="inlineStr">
        <is>
          <t>English</t>
        </is>
      </c>
    </row>
    <row r="10">
      <c r="A10" t="inlineStr">
        <is>
          <t>AGB_009</t>
        </is>
      </c>
      <c r="B10" t="inlineStr">
        <is>
          <t>Agba John Doe</t>
        </is>
      </c>
      <c r="C10" t="inlineStr">
        <is>
          <t>X</t>
        </is>
      </c>
      <c r="D10" t="inlineStr">
        <is>
          <t>Tweet</t>
        </is>
      </c>
      <c r="E10">
        <f>HYPERLINK("https://x.com/jon_d_doe/status/1663979405817856006","https://x.com/jon_d_doe/status/1663979405817856006")</f>
        <v/>
      </c>
      <c r="F10" t="inlineStr">
        <is>
          <t>A man shares how his wife supported him financially during unemployment, allowing him to maintain his role as head of the household.</t>
        </is>
      </c>
      <c r="G10" t="inlineStr">
        <is>
          <t>9. He lost his job in 2021. His wife started transferring 250k, out of her 290k salary to him, so he can still be the head. It continued till August 2022, when he got a good job. He promises to give his wife the world. https://t.co/A7irzIID8v</t>
        </is>
      </c>
      <c r="H10" t="inlineStr">
        <is>
          <t>He lost his job in 2021. His wife started transferring 250k out of her 290k salary to him so he could still feel like the head of the household. This continued until August 2022, when he got a good job. He promises to give his wife the world. https://t.co/A7irzIID8v</t>
        </is>
      </c>
      <c r="I10" t="inlineStr">
        <is>
          <t>English</t>
        </is>
      </c>
    </row>
    <row r="11">
      <c r="A11" t="inlineStr">
        <is>
          <t>AGB_010</t>
        </is>
      </c>
      <c r="B11" t="inlineStr">
        <is>
          <t>Agba John Doe</t>
        </is>
      </c>
      <c r="C11" t="inlineStr">
        <is>
          <t>X</t>
        </is>
      </c>
      <c r="D11" t="inlineStr">
        <is>
          <t>Tweet</t>
        </is>
      </c>
      <c r="E11">
        <f>HYPERLINK("https://x.com/jon_d_doe/status/1663974406429843456","https://x.com/jon_d_doe/status/1663974406429843456")</f>
        <v/>
      </c>
      <c r="F11" t="inlineStr">
        <is>
          <t>A man is unhappy in marriage, blaming his wife's feminism and financial independence for her lack of support.</t>
        </is>
      </c>
      <c r="G11" t="inlineStr">
        <is>
          <t>2. All through his 9 years of marriage, he has been unhappy. He got his wife a job, but she can't bring out N100 to grind beans. She claims she's a feminist, and African women are slaves. https://t.co/cSZhfeql2b</t>
        </is>
      </c>
      <c r="H11" t="inlineStr">
        <is>
          <t>Throughout his 9 years of marriage, he has been unhappy. He got his wife a job, but she can't even contribute N100 to buy beans. She claims to be a feminist and says African women are slaves. https://t.co/cSZhfeql2b</t>
        </is>
      </c>
      <c r="I11" t="inlineStr">
        <is>
          <t>English</t>
        </is>
      </c>
    </row>
    <row r="12">
      <c r="A12" t="inlineStr">
        <is>
          <t>AGB_011</t>
        </is>
      </c>
      <c r="B12" t="inlineStr">
        <is>
          <t>Agba John Doe</t>
        </is>
      </c>
      <c r="C12" t="inlineStr">
        <is>
          <t>X</t>
        </is>
      </c>
      <c r="D12" t="inlineStr">
        <is>
          <t>Tweet</t>
        </is>
      </c>
      <c r="E12">
        <f>HYPERLINK("https://x.com/jon_d_doe/status/1663973546870095875","https://x.com/jon_d_doe/status/1663973546870095875")</f>
        <v/>
      </c>
      <c r="F12" t="inlineStr">
        <is>
          <t>Discussion on married men whose wives earn more, questioning happiness and submission in such marriages.</t>
        </is>
      </c>
      <c r="G12"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H12"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I12" t="inlineStr">
        <is>
          <t>English</t>
        </is>
      </c>
    </row>
    <row r="13">
      <c r="A13" t="inlineStr">
        <is>
          <t>AGB_012</t>
        </is>
      </c>
      <c r="B13" t="inlineStr">
        <is>
          <t>Agba John Doe</t>
        </is>
      </c>
      <c r="C13" t="inlineStr">
        <is>
          <t>X</t>
        </is>
      </c>
      <c r="D13" t="inlineStr">
        <is>
          <t>Tweet</t>
        </is>
      </c>
      <c r="E13">
        <f>HYPERLINK("https://x.com/jon_d_doe/status/1663872465410334720","https://x.com/jon_d_doe/status/1663872465410334720")</f>
        <v/>
      </c>
      <c r="F13" t="inlineStr">
        <is>
          <t>Advice for men on financial dynamics in marriage, emphasizing self-reliance and caution with wife's earnings.</t>
        </is>
      </c>
      <c r="G13"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H13" t="inlineStr">
        <is>
          <t>Things to note in tonight's discussion: 1) If you marry her because of her wealth, you are building on a shaky foundation. 2) If she earns more, focus on your own money instead of hers. 3) If you become unemployed and she steps in to help, don't get too comfortable. End.</t>
        </is>
      </c>
      <c r="I13" t="inlineStr">
        <is>
          <t>Mixed (Pidgin + English)</t>
        </is>
      </c>
    </row>
    <row r="14">
      <c r="A14" t="inlineStr">
        <is>
          <t>AGB_013</t>
        </is>
      </c>
      <c r="B14" t="inlineStr">
        <is>
          <t>Agba John Doe</t>
        </is>
      </c>
      <c r="C14" t="inlineStr">
        <is>
          <t>X</t>
        </is>
      </c>
      <c r="D14" t="inlineStr">
        <is>
          <t>Tweet</t>
        </is>
      </c>
      <c r="E14">
        <f>HYPERLINK("https://x.com/jon_d_doe/status/1663830983601266688","https://x.com/jon_d_doe/status/1663830983601266688")</f>
        <v/>
      </c>
      <c r="F14" t="inlineStr">
        <is>
          <t>A man praises his wife for respecting him despite her being the breadwinner, hoping for a change in his fortunes.</t>
        </is>
      </c>
      <c r="G14"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c r="H14" t="inlineStr">
        <is>
          <t>I also have another interesting story. His wife has been taking care of the bills for over 2 years. She acts as if he is the one paying all the bills and shows him respect and submission. He is happy to have married a wonderful wife but hopes God changes his situation. End.</t>
        </is>
      </c>
      <c r="I14" t="inlineStr">
        <is>
          <t>Mixed (Pidgin + English)</t>
        </is>
      </c>
    </row>
    <row r="15">
      <c r="A15" t="inlineStr">
        <is>
          <t>AGB_014</t>
        </is>
      </c>
      <c r="B15" t="inlineStr">
        <is>
          <t>Agba John Doe</t>
        </is>
      </c>
      <c r="C15" t="inlineStr">
        <is>
          <t>X</t>
        </is>
      </c>
      <c r="D15" t="inlineStr">
        <is>
          <t>Tweet</t>
        </is>
      </c>
      <c r="E15">
        <f>HYPERLINK("https://x.com/jon_d_doe/status/1663822494107590656","https://x.com/jon_d_doe/status/1663822494107590656")</f>
        <v/>
      </c>
      <c r="F15" t="inlineStr">
        <is>
          <t>Agba John Doe discusses why men should stay ahead financially and not rely on wives, emphasizing women's limited patience.</t>
        </is>
      </c>
      <c r="G15"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H15"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I15" t="inlineStr">
        <is>
          <t>English</t>
        </is>
      </c>
    </row>
    <row r="16">
      <c r="A16" t="inlineStr">
        <is>
          <t>AGB_015</t>
        </is>
      </c>
      <c r="B16" t="inlineStr">
        <is>
          <t>Agba John Doe</t>
        </is>
      </c>
      <c r="C16" t="inlineStr">
        <is>
          <t>X</t>
        </is>
      </c>
      <c r="D16" t="inlineStr">
        <is>
          <t>Tweet</t>
        </is>
      </c>
      <c r="E16">
        <f>HYPERLINK("https://x.com/jon_d_doe/status/1663818948503060480","https://x.com/jon_d_doe/status/1663818948503060480")</f>
        <v/>
      </c>
      <c r="F16" t="inlineStr">
        <is>
          <t>Agba John Doe invites married men to discuss experiences when wives earn more, questioning respect and submission dynamics.</t>
        </is>
      </c>
      <c r="G16"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H16"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I16" t="inlineStr">
        <is>
          <t>English</t>
        </is>
      </c>
    </row>
    <row r="17">
      <c r="A17" t="inlineStr">
        <is>
          <t>AGB_016</t>
        </is>
      </c>
      <c r="B17" t="inlineStr">
        <is>
          <t>Agba John Doe</t>
        </is>
      </c>
      <c r="C17" t="inlineStr">
        <is>
          <t>X</t>
        </is>
      </c>
      <c r="D17" t="inlineStr">
        <is>
          <t>Tweet</t>
        </is>
      </c>
      <c r="E17">
        <f>HYPERLINK("https://x.com/jon_d_doe/status/1663801008604995584","https://x.com/jon_d_doe/status/1663801008604995584")</f>
        <v/>
      </c>
      <c r="F17" t="inlineStr">
        <is>
          <t>Agba John Doe argues men prioritize respect over love, suggesting women misunderstand men's needs in relationships.</t>
        </is>
      </c>
      <c r="G17"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H17"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I17" t="inlineStr">
        <is>
          <t>English</t>
        </is>
      </c>
    </row>
    <row r="18">
      <c r="A18" t="inlineStr">
        <is>
          <t>AGB_017</t>
        </is>
      </c>
      <c r="B18" t="inlineStr">
        <is>
          <t>Agba John Doe</t>
        </is>
      </c>
      <c r="C18" t="inlineStr">
        <is>
          <t>X</t>
        </is>
      </c>
      <c r="D18" t="inlineStr">
        <is>
          <t>Tweet</t>
        </is>
      </c>
      <c r="E18">
        <f>HYPERLINK("https://x.com/jon_d_doe/status/1663628568440582147","https://x.com/jon_d_doe/status/1663628568440582147")</f>
        <v/>
      </c>
      <c r="F18" t="inlineStr">
        <is>
          <t>Agba John Doe asks men how they respond to partner confrontations, highlighting respect and love dynamics.</t>
        </is>
      </c>
      <c r="G18" t="inlineStr">
        <is>
          <t>Open discussion for men. If you're having a quarrel with your gf/wife, and you want to respond to her confrontations. What are you most likely to tell her? 1) don't you have respect? 2) don't you love me anymore? Your comments 👇</t>
        </is>
      </c>
      <c r="H18" t="inlineStr">
        <is>
          <t>Open discussion for men. If you're having a quarrel with your gf/wife, and you want to respond to her confrontations. What are you most likely to tell her? 1) don't you have respect? 2) don't you love me anymore? Your comments 👇</t>
        </is>
      </c>
      <c r="I18" t="inlineStr">
        <is>
          <t>English</t>
        </is>
      </c>
    </row>
    <row r="19">
      <c r="A19" t="inlineStr">
        <is>
          <t>AGB_018</t>
        </is>
      </c>
      <c r="B19" t="inlineStr">
        <is>
          <t>Agba John Doe</t>
        </is>
      </c>
      <c r="C19" t="inlineStr">
        <is>
          <t>X</t>
        </is>
      </c>
      <c r="D19" t="inlineStr">
        <is>
          <t>Tweet</t>
        </is>
      </c>
      <c r="E19">
        <f>HYPERLINK("https://x.com/jon_d_doe/status/1663626533565497346","https://x.com/jon_d_doe/status/1663626533565497346")</f>
        <v/>
      </c>
      <c r="F19" t="inlineStr">
        <is>
          <t>Agba John Doe advises finding women who respect and help raise children, rather than seeking love.</t>
        </is>
      </c>
      <c r="G19"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c r="H19" t="inlineStr">
        <is>
          <t>My wife doesn't love me. She respects and submits to me. Stop looking for women who will love you. Find one who appreciates your worth, has good character, and can help you raise responsible children. And who will be there for you when you're old and frail. End https://t.co/JyT7d8PCih</t>
        </is>
      </c>
      <c r="I19" t="inlineStr">
        <is>
          <t>Mixed (Pidgin + English)</t>
        </is>
      </c>
    </row>
    <row r="20">
      <c r="A20" t="inlineStr">
        <is>
          <t>AGB_019</t>
        </is>
      </c>
      <c r="B20" t="inlineStr">
        <is>
          <t>Agba John Doe</t>
        </is>
      </c>
      <c r="C20" t="inlineStr">
        <is>
          <t>X</t>
        </is>
      </c>
      <c r="D20" t="inlineStr">
        <is>
          <t>Tweet</t>
        </is>
      </c>
      <c r="E20">
        <f>HYPERLINK("https://x.com/jon_d_doe/status/1652779124778315777","https://x.com/jon_d_doe/status/1652779124778315777")</f>
        <v/>
      </c>
      <c r="F20" t="inlineStr">
        <is>
          <t>Agba John Doe suggests women respect friends' relationship boundaries, implying knowledge of infidelity.</t>
        </is>
      </c>
      <c r="G20"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c r="H20" t="inlineStr">
        <is>
          <t>If your girlfriend's female friend is flirting with you, and she knows you're in a relationship with her friend, she knows something about your girlfriend that you don't. Women respect their friends' boundaries; they understand how to respect other women's boundaries. End.</t>
        </is>
      </c>
      <c r="I20" t="inlineStr">
        <is>
          <t>Mixed (Pidgin + English)</t>
        </is>
      </c>
    </row>
    <row r="21">
      <c r="A21" t="inlineStr">
        <is>
          <t>AGB_020</t>
        </is>
      </c>
      <c r="B21" t="inlineStr">
        <is>
          <t>Agba John Doe</t>
        </is>
      </c>
      <c r="C21" t="inlineStr">
        <is>
          <t>X</t>
        </is>
      </c>
      <c r="D21" t="inlineStr">
        <is>
          <t>Tweet</t>
        </is>
      </c>
      <c r="E21">
        <f>HYPERLINK("https://x.com/jon_d_doe/status/1652761869009010688","https://x.com/jon_d_doe/status/1652761869009010688")</f>
        <v/>
      </c>
      <c r="F21" t="inlineStr">
        <is>
          <t>Agba John Doe discusses the perceived competition between women who earn legitimately and those who use their sexuality, labeling the latter as 'Pick Mes'.</t>
        </is>
      </c>
      <c r="G21"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c r="H21" t="inlineStr">
        <is>
          <t>Nothing is more disappointing for a woman trying to make a legitimate living than seeing another woman making ends meet by just being promiscuous. This is why they call such women "P. ick Mes". They feel no man wants them. In reality, men do need them. End.</t>
        </is>
      </c>
      <c r="I21" t="inlineStr">
        <is>
          <t>Mixed (Pidgin + English)</t>
        </is>
      </c>
    </row>
    <row r="22">
      <c r="A22" t="inlineStr">
        <is>
          <t>AGB_021</t>
        </is>
      </c>
      <c r="B22" t="inlineStr">
        <is>
          <t>Agba John Doe</t>
        </is>
      </c>
      <c r="C22" t="inlineStr">
        <is>
          <t>X</t>
        </is>
      </c>
      <c r="D22" t="inlineStr">
        <is>
          <t>Tweet</t>
        </is>
      </c>
      <c r="E22">
        <f>HYPERLINK("https://x.com/jon_d_doe/status/1652759441123553280","https://x.com/jon_d_doe/status/1652759441123553280")</f>
        <v/>
      </c>
      <c r="F22" t="inlineStr">
        <is>
          <t>Agba John Doe emphasizes that a wife should feel dependent on her husband for a unique purpose, regardless of his wealth or fame.</t>
        </is>
      </c>
      <c r="G22"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c r="H22" t="inlineStr">
        <is>
          <t>Call it whatever you want. Your wife must always feel that she needs you. She should feel that she is with you for a purpose that she can't find elsewhere, no matter how small. Not all men are equally rich or famous, but their wives still respect them. This is nature, not theory. End.</t>
        </is>
      </c>
      <c r="I22" t="inlineStr">
        <is>
          <t>Mixed (Pidgin + English)</t>
        </is>
      </c>
    </row>
    <row r="23">
      <c r="A23" t="inlineStr">
        <is>
          <t>AGB_022</t>
        </is>
      </c>
      <c r="B23" t="inlineStr">
        <is>
          <t>Agba John Doe</t>
        </is>
      </c>
      <c r="C23" t="inlineStr">
        <is>
          <t>X</t>
        </is>
      </c>
      <c r="D23" t="inlineStr">
        <is>
          <t>Tweet</t>
        </is>
      </c>
      <c r="E23">
        <f>HYPERLINK("https://x.com/jon_d_doe/status/1652752531469004802","https://x.com/jon_d_doe/status/1652752531469004802")</f>
        <v/>
      </c>
      <c r="F23" t="inlineStr">
        <is>
          <t>Agba John Doe suggests a man should view his wife as 'broke' to maintain her submission and respect.</t>
        </is>
      </c>
      <c r="G23" t="inlineStr">
        <is>
          <t>Let me say this real quick. As a man, you have not found your wife, if you don't consider her "broke". And she will remain your wife, and still be submissive and respectful to you, as long as you still see her as "broke". When a woman feels she's bigger than you?..... End.</t>
        </is>
      </c>
      <c r="H23" t="inlineStr">
        <is>
          <t>Let me say this quickly. As a man, you haven't found your wife if you don't see her as "broke". She will remain your wife and still be submissive and respectful to you as long as you see her as "broke". When a woman feels she is better than you?..... End.</t>
        </is>
      </c>
      <c r="I23" t="inlineStr">
        <is>
          <t>Mixed (Pidgin + English)</t>
        </is>
      </c>
    </row>
    <row r="24">
      <c r="A24" t="inlineStr">
        <is>
          <t>AGB_023</t>
        </is>
      </c>
      <c r="B24" t="inlineStr">
        <is>
          <t>Agba John Doe</t>
        </is>
      </c>
      <c r="C24" t="inlineStr">
        <is>
          <t>X</t>
        </is>
      </c>
      <c r="D24" t="inlineStr">
        <is>
          <t>Tweet</t>
        </is>
      </c>
      <c r="E24">
        <f>HYPERLINK("https://x.com/jon_d_doe/status/1652668333668327426","https://x.com/jon_d_doe/status/1652668333668327426")</f>
        <v/>
      </c>
      <c r="F24" t="inlineStr">
        <is>
          <t>Agba John Doe humorously describes a man consoling a woman in her DMs after she's criticized (wotowoto [severe criticism]), hoping for sexual favors (toto [vagina]).</t>
        </is>
      </c>
      <c r="G24" t="inlineStr">
        <is>
          <t>A real man goes into a lady's DM, to console her, after Agba has given her wotowoto [severe criticism]. With the hope that she'll give him toto [vagina]. End.</t>
        </is>
      </c>
      <c r="H24" t="inlineStr">
        <is>
          <t>A real man slides into a woman's DMs to console her after an elder has criticized her harshly, hoping that she will give him what he wants. End.</t>
        </is>
      </c>
      <c r="I24" t="inlineStr">
        <is>
          <t>Mixed (Pidgin + English)</t>
        </is>
      </c>
    </row>
    <row r="25">
      <c r="A25" t="inlineStr">
        <is>
          <t>AGB_024</t>
        </is>
      </c>
      <c r="B25" t="inlineStr">
        <is>
          <t>Agba John Doe</t>
        </is>
      </c>
      <c r="C25" t="inlineStr">
        <is>
          <t>X</t>
        </is>
      </c>
      <c r="D25" t="inlineStr">
        <is>
          <t>Tweet</t>
        </is>
      </c>
      <c r="E25">
        <f>HYPERLINK("https://x.com/jon_d_doe/status/1652592217830174722","https://x.com/jon_d_doe/status/1652592217830174722")</f>
        <v/>
      </c>
      <c r="F25" t="inlineStr">
        <is>
          <t>Agba John Doe contrasts how women value feelings and men value commitment in relationships.</t>
        </is>
      </c>
      <c r="G25" t="inlineStr">
        <is>
          <t>A woman's prize, is directly proportional to her feelings. A man's prize, is directly proportional to his commitment. If his commitment isn't in line with her feelings, she won't care. "you used to be a nice man, but you don't love me anymore. "baby, I still love you" End.</t>
        </is>
      </c>
      <c r="H25" t="inlineStr">
        <is>
          <t>A woman's value is directly related to her feelings. A man's value is directly related to his commitment. If his commitment doesn't align with her feelings, she won't care. "You used to be a nice man, but you don't love me anymore." "Baby, I still love you." End.</t>
        </is>
      </c>
      <c r="I25" t="inlineStr">
        <is>
          <t>Mixed (Pidgin + English)</t>
        </is>
      </c>
    </row>
    <row r="26">
      <c r="A26" t="inlineStr">
        <is>
          <t>AGB_025</t>
        </is>
      </c>
      <c r="B26" t="inlineStr">
        <is>
          <t>Agba John Doe</t>
        </is>
      </c>
      <c r="C26" t="inlineStr">
        <is>
          <t>X</t>
        </is>
      </c>
      <c r="D26" t="inlineStr">
        <is>
          <t>Tweet</t>
        </is>
      </c>
      <c r="E26">
        <f>HYPERLINK("https://x.com/jon_d_doe/status/1641321315909922816","https://x.com/jon_d_doe/status/1641321315909922816")</f>
        <v/>
      </c>
      <c r="F26" t="inlineStr">
        <is>
          <t>Agba John Doe claims men who pursue women for long are often seeking revenge, especially if they've spent money, after they 'knack' (have sex with) her.</t>
        </is>
      </c>
      <c r="G26" t="inlineStr">
        <is>
          <t>No. You're not going to stay with her, after you get her and knack her. Most men who chase women for that long, are only waiting for their pound of flesh. Especially if the man has been spending on her, while at it.</t>
        </is>
      </c>
      <c r="H26" t="inlineStr">
        <is>
          <t>No, you're not going to stay with her after you get her and sleep with her. Most men who pursue women for that long are just waiting to get what they want, especially if the man has been spending money on her during the process.</t>
        </is>
      </c>
      <c r="I26" t="inlineStr">
        <is>
          <t>Mixed (Pidgin + English)</t>
        </is>
      </c>
    </row>
    <row r="27">
      <c r="A27" t="inlineStr">
        <is>
          <t>AGB_026</t>
        </is>
      </c>
      <c r="B27" t="inlineStr">
        <is>
          <t>Agba John Doe</t>
        </is>
      </c>
      <c r="C27" t="inlineStr">
        <is>
          <t>X</t>
        </is>
      </c>
      <c r="D27" t="inlineStr">
        <is>
          <t>Tweet</t>
        </is>
      </c>
      <c r="E27">
        <f>HYPERLINK("https://x.com/jon_d_doe/status/1641315964141682688","https://x.com/jon_d_doe/status/1641315964141682688")</f>
        <v/>
      </c>
      <c r="F27" t="inlineStr">
        <is>
          <t>Agba John Doe advises on handling a girlfriend's insecurity, suggesting honesty about intentions with another woman, including the possibility to 'knack' [have sex with] the other woman.</t>
        </is>
      </c>
      <c r="G27" t="inlineStr">
        <is>
          <t>Just tell your girlfriend that you prefer her to the lady and that if she leaves, you'll knack [have sex with] the lady and still won't be with her (the one you're flirting with). Your girlfriend is only threatening to leave, because she feels she's not good enough for you. End.</t>
        </is>
      </c>
      <c r="H27" t="inlineStr">
        <is>
          <t>Just tell your girlfriend that you prefer her over the other woman, and that if she leaves, you'll sleep with the other woman and still won't be with her (the one you're flirting with). Your girlfriend is only threatening to leave because she feels inadequate for you. End.</t>
        </is>
      </c>
      <c r="I27" t="inlineStr">
        <is>
          <t>English</t>
        </is>
      </c>
    </row>
    <row r="28">
      <c r="A28" t="inlineStr">
        <is>
          <t>AGB_027</t>
        </is>
      </c>
      <c r="B28" t="inlineStr">
        <is>
          <t>Agba John Doe</t>
        </is>
      </c>
      <c r="C28" t="inlineStr">
        <is>
          <t>X</t>
        </is>
      </c>
      <c r="D28" t="inlineStr">
        <is>
          <t>Tweet</t>
        </is>
      </c>
      <c r="E28">
        <f>HYPERLINK("https://x.com/jon_d_doe/status/1641174459674402816","https://x.com/jon_d_doe/status/1641174459674402816")</f>
        <v/>
      </c>
      <c r="F28" t="inlineStr">
        <is>
          <t>Agba John Doe challenges feminists and 'feminised men' following him, questioning their motives and daring them to criticize.</t>
        </is>
      </c>
      <c r="G28"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H28"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I28" t="inlineStr">
        <is>
          <t>English</t>
        </is>
      </c>
    </row>
    <row r="29">
      <c r="A29" t="inlineStr">
        <is>
          <t>AGB_028</t>
        </is>
      </c>
      <c r="B29" t="inlineStr">
        <is>
          <t>Agba John Doe</t>
        </is>
      </c>
      <c r="C29" t="inlineStr">
        <is>
          <t>X</t>
        </is>
      </c>
      <c r="D29" t="inlineStr">
        <is>
          <t>Tweet</t>
        </is>
      </c>
      <c r="E29">
        <f>HYPERLINK("https://x.com/jon_d_doe/status/1641155860255653914","https://x.com/jon_d_doe/status/1641155860255653914")</f>
        <v/>
      </c>
      <c r="F29" t="inlineStr">
        <is>
          <t>Agba John Doe suggests men suffer more in heartbreak due to their provider role, while women move on easily.</t>
        </is>
      </c>
      <c r="G29"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H29"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I29" t="inlineStr">
        <is>
          <t>English</t>
        </is>
      </c>
    </row>
    <row r="30">
      <c r="A30" t="inlineStr">
        <is>
          <t>AGB_029</t>
        </is>
      </c>
      <c r="B30" t="inlineStr">
        <is>
          <t>Agba John Doe</t>
        </is>
      </c>
      <c r="C30" t="inlineStr">
        <is>
          <t>X</t>
        </is>
      </c>
      <c r="D30" t="inlineStr">
        <is>
          <t>Tweet thread (merged)</t>
        </is>
      </c>
      <c r="E30">
        <f>HYPERLINK("https://x.com/jon_d_doe/status/1641047468832968706","https://x.com/jon_d_doe/status/1641047468832968706")</f>
        <v/>
      </c>
      <c r="F30" t="inlineStr">
        <is>
          <t>Merged Agba thread (2 consecutive tweets) — long-distance + divorce dynamics</t>
        </is>
      </c>
      <c r="G30"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H30" t="inlineStr">
        <is>
          <t>Nothing is guaranteed outside. Don't punish her by making her a divorcee because it will be tougher on her and make her life miserable. God will not forgive you for hurting a woman who opened her heart to you and willingly accepted to submit to you. Lastly, if your father is a bachelor, please don't get carried away. You haven't said anything bad about your wife. So you have to learn the ropes and date her again, even in marriage. Teach her how to make you need her. Give her your commitment and let her follow your lead. Don't leave her because.</t>
        </is>
      </c>
      <c r="I30" t="inlineStr">
        <is>
          <t>Nigerian Pidgin</t>
        </is>
      </c>
    </row>
    <row r="31">
      <c r="A31" t="inlineStr">
        <is>
          <t>AGB_030</t>
        </is>
      </c>
      <c r="B31" t="inlineStr">
        <is>
          <t>Agba John Doe</t>
        </is>
      </c>
      <c r="C31" t="inlineStr">
        <is>
          <t>X</t>
        </is>
      </c>
      <c r="D31" t="inlineStr">
        <is>
          <t>Tweet</t>
        </is>
      </c>
      <c r="E31">
        <f>HYPERLINK("https://x.com/jon_d_doe/status/1620540014445858817","https://x.com/jon_d_doe/status/1620540014445858817")</f>
        <v/>
      </c>
      <c r="F31" t="inlineStr">
        <is>
          <t>Agba John Doe questions if women who ask men for money are equivalent to sex workers, implying a double standard in dating expectations.</t>
        </is>
      </c>
      <c r="G31" t="inlineStr">
        <is>
          <t>Is it not surprising? Ladies who beg men for money few days after meeting them, know that they are hook up girls [women who engage in casual sexual relationships]? So does this truly mean that ladies who say they can't date men who can't take care of them, are really oloshos [prostitutes]? What a miracle!. See you tomorrow. End.</t>
        </is>
      </c>
      <c r="H31" t="inlineStr">
        <is>
          <t>Isn't it surprising? Women who beg men for money a few days after meeting them know that they are hookup girls. So does this really mean that women who say they can't date men who can't take care of them are actually prostitutes? What a miracle! See you tomorrow. End.</t>
        </is>
      </c>
      <c r="I31" t="inlineStr">
        <is>
          <t>Nigerian Pidgin</t>
        </is>
      </c>
    </row>
    <row r="32">
      <c r="A32" t="inlineStr">
        <is>
          <t>AGB_031</t>
        </is>
      </c>
      <c r="B32" t="inlineStr">
        <is>
          <t>Agba John Doe</t>
        </is>
      </c>
      <c r="C32" t="inlineStr">
        <is>
          <t>X</t>
        </is>
      </c>
      <c r="D32" t="inlineStr">
        <is>
          <t>Tweet</t>
        </is>
      </c>
      <c r="E32">
        <f>HYPERLINK("https://x.com/jon_d_doe/status/1620530919324123136","https://x.com/jon_d_doe/status/1620530919324123136")</f>
        <v/>
      </c>
      <c r="F32" t="inlineStr">
        <is>
          <t>Agba John Doe expresses concern about raising children with values opposite to those seen on social media.</t>
        </is>
      </c>
      <c r="G32"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H32" t="inlineStr">
        <is>
          <t>I just feel "sorry" for my children. Everything they will ever hear from me and my wife will be the complete opposite of what they read and see on social media. They'll end up hating me and their mother, but I hope God will see our conscience and reveal to them that we meant well. End.</t>
        </is>
      </c>
      <c r="I32" t="inlineStr">
        <is>
          <t>Nigerian Pidgin</t>
        </is>
      </c>
    </row>
    <row r="33">
      <c r="A33" t="inlineStr">
        <is>
          <t>AGB_032</t>
        </is>
      </c>
      <c r="B33" t="inlineStr">
        <is>
          <t>Agba John Doe</t>
        </is>
      </c>
      <c r="C33" t="inlineStr">
        <is>
          <t>X</t>
        </is>
      </c>
      <c r="D33" t="inlineStr">
        <is>
          <t>Tweet</t>
        </is>
      </c>
      <c r="E33">
        <f>HYPERLINK("https://x.com/jon_d_doe/status/1620526658288754688","https://x.com/jon_d_doe/status/1620526658288754688")</f>
        <v/>
      </c>
      <c r="F33" t="inlineStr">
        <is>
          <t>Agba John Doe criticizes a blog for promoting single motherhood while ignoring advice against becoming baby mamas.</t>
        </is>
      </c>
      <c r="G33"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H33"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I33" t="inlineStr">
        <is>
          <t>English</t>
        </is>
      </c>
    </row>
    <row r="34">
      <c r="A34" t="inlineStr">
        <is>
          <t>AGB_033</t>
        </is>
      </c>
      <c r="B34" t="inlineStr">
        <is>
          <t>Agba John Doe</t>
        </is>
      </c>
      <c r="C34" t="inlineStr">
        <is>
          <t>X</t>
        </is>
      </c>
      <c r="D34" t="inlineStr">
        <is>
          <t>Tweet</t>
        </is>
      </c>
      <c r="E34">
        <f>HYPERLINK("https://x.com/jon_d_doe/status/1620496527683899392","https://x.com/jon_d_doe/status/1620496527683899392")</f>
        <v/>
      </c>
      <c r="F34" t="inlineStr">
        <is>
          <t>Agba John Doe advises single women to accept consequences of single motherhood unless they were victims of rape.</t>
        </is>
      </c>
      <c r="G34"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H34"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I34" t="inlineStr">
        <is>
          <t>English</t>
        </is>
      </c>
    </row>
    <row r="35">
      <c r="A35" t="inlineStr">
        <is>
          <t>AGB_034</t>
        </is>
      </c>
      <c r="B35" t="inlineStr">
        <is>
          <t>Agba John Doe</t>
        </is>
      </c>
      <c r="C35" t="inlineStr">
        <is>
          <t>X</t>
        </is>
      </c>
      <c r="D35" t="inlineStr">
        <is>
          <t>Tweet</t>
        </is>
      </c>
      <c r="E35">
        <f>HYPERLINK("https://x.com/jon_d_doe/status/1620469226896248832","https://x.com/jon_d_doe/status/1620469226896248832")</f>
        <v/>
      </c>
      <c r="F35" t="inlineStr">
        <is>
          <t>Agba John Doe asks if women would support their sons marrying women raised by single mothers, highlighting societal biases.</t>
        </is>
      </c>
      <c r="G35" t="inlineStr">
        <is>
          <t>Women, Will you support your sons or brothers, if they wish to marry a lady raised by a single mother, through divorce. Or a single mother who is divorced or never married? Vote and/or comment. Men, use the see result option.</t>
        </is>
      </c>
      <c r="H35" t="inlineStr">
        <is>
          <t>Women, Will you support your sons or brothers, if they wish to marry a lady raised by a single mother, through divorce. Or a single mother who is divorced or never married? Vote and/or comment. Men, use the see result option.</t>
        </is>
      </c>
      <c r="I35" t="inlineStr">
        <is>
          <t>English</t>
        </is>
      </c>
    </row>
    <row r="36">
      <c r="A36" t="inlineStr">
        <is>
          <t>AGB_035</t>
        </is>
      </c>
      <c r="B36" t="inlineStr">
        <is>
          <t>Agba John Doe</t>
        </is>
      </c>
      <c r="C36" t="inlineStr">
        <is>
          <t>X</t>
        </is>
      </c>
      <c r="D36" t="inlineStr">
        <is>
          <t>Tweet</t>
        </is>
      </c>
      <c r="E36">
        <f>HYPERLINK("https://x.com/jon_d_doe/status/1620401683191992324","https://x.com/jon_d_doe/status/1620401683191992324")</f>
        <v/>
      </c>
      <c r="F36" t="inlineStr">
        <is>
          <t>Agba John Doe lists signs he believes indicate a woman is involved in sex work, reinforcing stereotypes and judgment.</t>
        </is>
      </c>
      <c r="G36" t="inlineStr">
        <is>
          <t>She's possibly into hook ups [casual sexual relationships] if she: 1) begs for money few days after meeting her 2) turns off data when she's with you 3) lives above her visible means 4) uploads pix from diff hotels 5) posts seductive images online 6) has an "uncle" If this tweet pains you, you're one. End.</t>
        </is>
      </c>
      <c r="H36" t="inlineStr">
        <is>
          <t>She's probably into hookups if she: 1) begs for money a few days after meeting you 2) turns off data when she's with you 3) lives beyond her means 4) uploads pictures from different hotels 5) posts seductive images online 6) has an "uncle". If this tweet hurts you, you're one. End.</t>
        </is>
      </c>
      <c r="I36" t="inlineStr">
        <is>
          <t>Nigerian Pidgin</t>
        </is>
      </c>
    </row>
    <row r="37">
      <c r="A37" t="inlineStr">
        <is>
          <t>AGB_036</t>
        </is>
      </c>
      <c r="B37" t="inlineStr">
        <is>
          <t>Agba John Doe</t>
        </is>
      </c>
      <c r="C37" t="inlineStr">
        <is>
          <t>X</t>
        </is>
      </c>
      <c r="D37" t="inlineStr">
        <is>
          <t>Tweet thread (merged)</t>
        </is>
      </c>
      <c r="E37">
        <f>HYPERLINK("https://x.com/jon_d_doe/status/1620368805393465344","https://x.com/jon_d_doe/status/1620368805393465344")</f>
        <v/>
      </c>
      <c r="F37" t="inlineStr">
        <is>
          <t>Merged Agba thread (7 consecutive tweets) — aristo / prostitute-past wife</t>
        </is>
      </c>
      <c r="G37" t="inlineStr">
        <is>
          <t>commit to it &amp; let her past life be her guide, experience, &amp; motivation not to go back. She'll focus on her marriage &amp; make her own daughters never to be like her. For younger girls, do NOT see this thread as a motivation to continue unabated. You may not be as lucky. End. if he knew &amp; still decided to marry her. Men &amp; Women commit the same crimes, but we do not go to the same prison. Neither do we do same time. It's men who patronize these prostitutes. It's still men that will marry them. Even if you as a man, never patronized one, it's As long as you do not know. And a former prostitute or hook up girl who refuses to change even in marriage is the one that will ruin her home. You cannot blame the man for marrying her, if he was never aware. He thought he found a good woman for him. You can only blame him the men remain in the "dark". Let's not pretend. Every man wants to believe that his wife is a "Saint". And a Saint she will remain, until you unearth that which she thought would never be known. So for me, a former prostitute or hook up girl can make a good wife or mother. lady. You negotiate price with her &amp; the next moments, she is with you. Some of them are university girls. They don't need to even go to the streets to display themselves. She comes, you chop &amp; clean mouth. She gets her money &amp; life goes on. Are you saying that another man who doesn't know her story will not find her worthy to be a wife &amp; mother to his kids? Remember, I had said that a woman will treat you like a king until you discover her secrets? That's exactly what is playing out in a lot of marriages where the men married women like that &amp; always lower your expectations. You will never know the true history of her past life. I know ladies that dated aristos in my university days, that are married. I mean, every weekend was for one aristo or the other. You sit in the comfort of your home, hotel &amp; you chat up a</t>
        </is>
      </c>
      <c r="H37" t="inlineStr">
        <is>
          <t>Commit to it and let her past life be her guide, experience, and motivation not to go back. She'll focus on her marriage and teach her daughters never to be like her. For younger girls, do NOT see this thread as motivation to continue unabated. You may not be as lucky. End. If he knew and still decided to marry her. Men and women commit the same crimes, but we do not go to the same prison. Neither do we serve the same time. It's men who patronize these prostitutes. It's still men that will marry them. Even if you, as a man, never patronized one, it's as long as you do not know. And a former prostitute or hookup girl who refuses to change even in marriage is the one that will ruin her home. You cannot blame the man for marrying her if he was never aware. He thought he found a good woman for him. You can only blame him if the men remain in the "dark". Let's not pretend. Every man wants to believe that his wife is a "Saint". And a Saint she will remain until you uncover what she thought would never be known. So for me, a former prostitute or hookup girl can make a good wife or mother. You negotiate a price with her and the next moments, she is with you. Some of them are university girls. They don't even need to go to the streets to display themselves. She comes, you enjoy, and she gets her money, and life goes on. Are you saying that another man who doesn't know her story will not find her worthy to be a wife and mother to his kids? Remember, I said that a woman will treat you like a king until you discover her secrets? That's exactly what is playing out in a lot of marriages where the men married women like that. Always lower your expectations. You will never know the true history of her past life. I know ladies that dated wealthy men in my university days, that are now married. I mean, every weekend was for one wealthy man or the other.</t>
        </is>
      </c>
      <c r="I37" t="inlineStr">
        <is>
          <t>Nigerian Pidgin</t>
        </is>
      </c>
    </row>
    <row r="38">
      <c r="A38" t="inlineStr">
        <is>
          <t>AGB_054</t>
        </is>
      </c>
      <c r="B38" t="inlineStr">
        <is>
          <t>Agba John Doe</t>
        </is>
      </c>
      <c r="C38" t="inlineStr">
        <is>
          <t>X</t>
        </is>
      </c>
      <c r="D38" t="inlineStr">
        <is>
          <t>Tweet</t>
        </is>
      </c>
      <c r="E38">
        <f>HYPERLINK("https://x.com/jon_d_doe/status/1620328531157991429","https://x.com/jon_d_doe/status/1620328531157991429")</f>
        <v/>
      </c>
      <c r="F38" t="inlineStr">
        <is>
          <t>The text emphasizes traditional gender roles in Nigeria, suggesting men must provide financially to maintain respect and authority in relationships.</t>
        </is>
      </c>
      <c r="G38" t="inlineStr">
        <is>
          <t>Provision will act as a shield for you as a man &amp; husband. Without it, you're completely "naked". No woman will sympathize with you, for too long. Never delegate that role to her. Else, she will see you as useless. And you'll be forced to play by her own rules. End.</t>
        </is>
      </c>
      <c r="H38" t="inlineStr">
        <is>
          <t>Provision will act as a shield for you as a man and husband. Without it, you're completely "naked". No woman will sympathize with you for too long. Never delegate that role to her. Otherwise, she will see you as useless, and you'll be forced to play by her rules. End.</t>
        </is>
      </c>
      <c r="I38" t="inlineStr">
        <is>
          <t>Nigerian Pidgin</t>
        </is>
      </c>
    </row>
    <row r="39">
      <c r="A39" t="inlineStr">
        <is>
          <t>AGB_037</t>
        </is>
      </c>
      <c r="B39" t="inlineStr">
        <is>
          <t>Agba John Doe</t>
        </is>
      </c>
      <c r="C39" t="inlineStr">
        <is>
          <t>X</t>
        </is>
      </c>
      <c r="D39" t="inlineStr">
        <is>
          <t>Tweet</t>
        </is>
      </c>
      <c r="E39">
        <f>HYPERLINK("https://x.com/jon_d_doe/status/1641155845353291780","https://x.com/jon_d_doe/status/1641155845353291780")</f>
        <v/>
      </c>
      <c r="F39" t="inlineStr">
        <is>
          <t>The text discusses a perceived change in a woman's behavior in marriage, questioning her loss of respectfulness and submissiveness.</t>
        </is>
      </c>
      <c r="G39" t="inlineStr">
        <is>
          <t>Then suddenly, she changes into what you can no longer recognize? What happened along the way? Why did she suddenly change? Why is she no longer respectful &amp; submissive like she once was? This is why most men will blame themselves for a failed marriage. Women are quite</t>
        </is>
      </c>
      <c r="H39" t="inlineStr">
        <is>
          <t>Then suddenly, she changes into someone you can no longer recognize? What happened along the way? Why did she suddenly change? Why is she no longer respectful and submissive like she once was? This is why most men will blame themselves for a failed marriage. Women are quite.</t>
        </is>
      </c>
      <c r="I39" t="inlineStr">
        <is>
          <t>Nigerian Pidgin</t>
        </is>
      </c>
    </row>
    <row r="40">
      <c r="A40" t="inlineStr">
        <is>
          <t>AGB_038</t>
        </is>
      </c>
      <c r="B40" t="inlineStr">
        <is>
          <t>Agba John Doe</t>
        </is>
      </c>
      <c r="C40" t="inlineStr">
        <is>
          <t>X</t>
        </is>
      </c>
      <c r="D40" t="inlineStr">
        <is>
          <t>Tweet</t>
        </is>
      </c>
      <c r="E40">
        <f>HYPERLINK("https://x.com/jon_d_doe/status/1641155820632043521","https://x.com/jon_d_doe/status/1641155820632043521")</f>
        <v/>
      </c>
      <c r="F40" t="inlineStr">
        <is>
          <t>The speaker reflects on life choices, emphasizing confidence in choosing his wife while acknowledging gender dynamics in their relationship.</t>
        </is>
      </c>
      <c r="G40" t="inlineStr">
        <is>
          <t>I've made many mistakes or wrong judgments in my life. But one area I know I did not make the wrong choice, is the choice of my wife. Regardless, I still see my wife as a woman. And if I lose my guard, she will show me that she's a woman. Those who know us, will most likely</t>
        </is>
      </c>
      <c r="H40" t="inlineStr">
        <is>
          <t>I've made many mistakes or wrong judgments in my life. But one area I know I did not make the wrong choice is the choice of my wife. Regardless, I still see my wife as a woman. And if I lose my guard, she will show me that she's a woman. Those who know us will most likely.</t>
        </is>
      </c>
      <c r="I40" t="inlineStr">
        <is>
          <t>Nigerian Pidgin</t>
        </is>
      </c>
    </row>
    <row r="41">
      <c r="A41" t="inlineStr">
        <is>
          <t>AGB_039</t>
        </is>
      </c>
      <c r="B41" t="inlineStr">
        <is>
          <t>Agba John Doe</t>
        </is>
      </c>
      <c r="C41" t="inlineStr">
        <is>
          <t>X</t>
        </is>
      </c>
      <c r="D41" t="inlineStr">
        <is>
          <t>Tweet</t>
        </is>
      </c>
      <c r="E41">
        <f>HYPERLINK("https://x.com/jon_d_doe/status/1641097671443087360","https://x.com/jon_d_doe/status/1641097671443087360")</f>
        <v/>
      </c>
      <c r="F41" t="inlineStr">
        <is>
          <t>A metaphorical warning about relationship dynamics, suggesting that repeated mistakes can lead to significant conflict with one's partner.</t>
        </is>
      </c>
      <c r="G41" t="inlineStr">
        <is>
          <t>For every wrong move you make on your woman, you'll trigger her inactive "poison". The more you make the wrong move, the closer you're getting to full blown trouble. Always remember... You're living with your best "enemy". End.</t>
        </is>
      </c>
      <c r="H41" t="inlineStr">
        <is>
          <t>For every wrong move you make on your woman, you'll trigger her inactive "poison". The more you make the wrong move, the closer you're getting to full blown trouble. Always remember... You're living with your best "enemy". End.</t>
        </is>
      </c>
      <c r="I41" t="inlineStr">
        <is>
          <t>English</t>
        </is>
      </c>
    </row>
    <row r="42">
      <c r="A42" t="inlineStr">
        <is>
          <t>AGB_040</t>
        </is>
      </c>
      <c r="B42" t="inlineStr">
        <is>
          <t>Agba John Doe</t>
        </is>
      </c>
      <c r="C42" t="inlineStr">
        <is>
          <t>X</t>
        </is>
      </c>
      <c r="D42" t="inlineStr">
        <is>
          <t>Tweet</t>
        </is>
      </c>
      <c r="E42">
        <f>HYPERLINK("https://x.com/jon_d_doe/status/1641087676420960258","https://x.com/jon_d_doe/status/1641087676420960258")</f>
        <v/>
      </c>
      <c r="F42" t="inlineStr">
        <is>
          <t>A discussion on property ownership in marriage, highlighting differing opinions between experienced and inexperienced individuals, with a focus on Nigerian cultural norms.</t>
        </is>
      </c>
      <c r="G42" t="inlineStr">
        <is>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is>
      </c>
      <c r="H42" t="inlineStr">
        <is>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is>
      </c>
      <c r="I42" t="inlineStr">
        <is>
          <t>English</t>
        </is>
      </c>
    </row>
    <row r="43">
      <c r="A43" t="inlineStr">
        <is>
          <t>AGB_041</t>
        </is>
      </c>
      <c r="B43" t="inlineStr">
        <is>
          <t>Agba John Doe</t>
        </is>
      </c>
      <c r="C43" t="inlineStr">
        <is>
          <t>X</t>
        </is>
      </c>
      <c r="D43" t="inlineStr">
        <is>
          <t>Tweet</t>
        </is>
      </c>
      <c r="E43">
        <f>HYPERLINK("https://x.com/jon_d_doe/status/1620368773386756096","https://x.com/jon_d_doe/status/1620368773386756096")</f>
        <v/>
      </c>
      <c r="F43" t="inlineStr">
        <is>
          <t>The text discusses societal perceptions of women involved in casual relationships in Nigeria, questioning their potential as wives and mothers.</t>
        </is>
      </c>
      <c r="G43" t="inlineStr">
        <is>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is>
      </c>
      <c r="H43" t="inlineStr">
        <is>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is>
      </c>
      <c r="I43" t="inlineStr">
        <is>
          <t>English</t>
        </is>
      </c>
    </row>
    <row r="44">
      <c r="A44" t="inlineStr">
        <is>
          <t>AGB_042</t>
        </is>
      </c>
      <c r="B44" t="inlineStr">
        <is>
          <t>Agba John Doe</t>
        </is>
      </c>
      <c r="C44" t="inlineStr">
        <is>
          <t>X</t>
        </is>
      </c>
      <c r="D44" t="inlineStr">
        <is>
          <t>Tweet</t>
        </is>
      </c>
      <c r="E44">
        <f>HYPERLINK("https://x.com/jon_d_doe/status/1620368770975006721","https://x.com/jon_d_doe/status/1620368770975006721")</f>
        <v/>
      </c>
      <c r="F44" t="inlineStr">
        <is>
          <t>A cautionary statement advising men against marrying women with a promiscuous past, suggesting potential future blame and relationship issues.</t>
        </is>
      </c>
      <c r="G44" t="inlineStr">
        <is>
          <t>I've been reading comments. All I'll say to men is this. Never wife a KNOWN hoe. If she knows that you know, that she used to be a hoe, &amp; you decide to marry her, it's only a matter of time. When things go south for you, she'll return &amp; still blame you for marrying her.</t>
        </is>
      </c>
      <c r="H44" t="inlineStr">
        <is>
          <t>I've been reading comments. All I'll say to men is this: Never marry a KNOWN hoe. If she knows that you know she used to be a hoe, and you decide to marry her, it's only a matter of time. When things go south for you, she'll return and still blame you for marrying her.</t>
        </is>
      </c>
      <c r="I44" t="inlineStr">
        <is>
          <t>Nigerian Pidgin</t>
        </is>
      </c>
    </row>
    <row r="45">
      <c r="A45" t="inlineStr">
        <is>
          <t>AGB_043</t>
        </is>
      </c>
      <c r="B45" t="inlineStr">
        <is>
          <t>Agba John Doe</t>
        </is>
      </c>
      <c r="C45" t="inlineStr">
        <is>
          <t>X</t>
        </is>
      </c>
      <c r="D45" t="inlineStr">
        <is>
          <t>Tweet</t>
        </is>
      </c>
      <c r="E45">
        <f>HYPERLINK("https://x.com/jon_d_doe/status/1620340976228388867","https://x.com/jon_d_doe/status/1620340976228388867")</f>
        <v/>
      </c>
      <c r="F45" t="inlineStr">
        <is>
          <t>A social media post prompts debate on whether a former prostitute can be a good wife and mother, seeking opinions and reasons.</t>
        </is>
      </c>
      <c r="G45" t="inlineStr">
        <is>
          <t>Open discussion: Can a former prostitute make a good wife &amp; mother? Yes or No and give your reasons 👇.</t>
        </is>
      </c>
      <c r="H45" t="inlineStr">
        <is>
          <t>Open discussion: Can a former prostitute make a good wife &amp; mother? Yes or No and give your reasons 👇.</t>
        </is>
      </c>
      <c r="I45" t="inlineStr">
        <is>
          <t>English</t>
        </is>
      </c>
    </row>
    <row r="46">
      <c r="A46" t="inlineStr">
        <is>
          <t>AGB_044</t>
        </is>
      </c>
      <c r="B46" t="inlineStr">
        <is>
          <t>Agba John Doe</t>
        </is>
      </c>
      <c r="C46" t="inlineStr">
        <is>
          <t>X</t>
        </is>
      </c>
      <c r="D46" t="inlineStr">
        <is>
          <t>Tweet thread (merged)</t>
        </is>
      </c>
      <c r="E46">
        <f>HYPERLINK("https://x.com/jon_d_doe/status/1663996285093834754","https://x.com/jon_d_doe/status/1663996285093834754")</f>
        <v/>
      </c>
      <c r="F46" t="inlineStr">
        <is>
          <t>Merged Agba thread (8 consecutive tweets) — women cracking / vetting / man becoming-too-comfortable</t>
        </is>
      </c>
      <c r="G46" t="inlineStr">
        <is>
          <t>thread, wicked. They think they'll do better. Do you think that if those men thought their wives would be wicked to them in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very moment, is what they will believe in. So, many of them reading that thread, will be calling the women in that become too comfortable as a man. Why? Because you expect your wife to love you. You'll be disappointed in the long run. And the sad part of all these, is that women will always think that they're different from other women. They don't know what they're capable of doing, longer time, before your wife starts to become more loyal to her feelings, than your sacrifices. She has a stake in your life. She worked hard with you, to get to where you guys are. Her feelings still align with all your sacrifices. But the downsides of it, will be if you for almost 3 years in marriage, but his wife has not left, and is still footing all the bills. Do you now understand why it's important to vet thoroughly, build and bond? It's so important because you can never predict the future. And when the future goes south, it will take a save you. In one of the DMs in that thread, a man that did not vet or date his wife for long, married into a wealthy family. Under three years of facing financial crisis, his wife left him. In that same DM thread, another man that dated his wife for 7 years, has been jobless to. And as long as her natural role remains dependent, and yours remains independent, a time will come, when she will crack, if she continues to play your roles for you. It doesn't matter for how long you dated her, or for how long you have been married. The longer you dated family, well. But all that can change if things go south, and remain so, for a very very long time. A wife is the most amazing wife, is because her husband has been fortunate with life. A husband has been the most amazing husband is because he has been fortunate not to trigger</t>
        </is>
      </c>
      <c r="H46" t="inlineStr">
        <is>
          <t>Thread, wicked. They think they'll do better. Do you think that if those men thought their wives would be wicked to them in the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moment is what they will believe in. So, many of them reading that thread will be calling the women in that thread wicked. They become too comfortable as a man. Why? Because you expect your wife to love you. You'll be disappointed in the long run. And the sad part of all this is that women will always think that they're different from other women. They don't know what they're capable of doing.</t>
        </is>
      </c>
      <c r="I46" t="inlineStr">
        <is>
          <t>Nigerian Pidgin</t>
        </is>
      </c>
    </row>
    <row r="47">
      <c r="A47" t="inlineStr">
        <is>
          <t>AGB_045</t>
        </is>
      </c>
      <c r="B47" t="inlineStr">
        <is>
          <t>Agba John Doe</t>
        </is>
      </c>
      <c r="C47" t="inlineStr">
        <is>
          <t>X</t>
        </is>
      </c>
      <c r="D47" t="inlineStr">
        <is>
          <t>Tweet</t>
        </is>
      </c>
      <c r="E47">
        <f>HYPERLINK("https://x.com/jon_d_doe/status/1663996251531014145","https://x.com/jon_d_doe/status/1663996251531014145")</f>
        <v/>
      </c>
      <c r="F47" t="inlineStr">
        <is>
          <t>Agba John Doe discusses the role of money in marriage, emphasizing its importance for sustaining relationships and earning respect.</t>
        </is>
      </c>
      <c r="G47" t="inlineStr">
        <is>
          <t>his wife's inactive poison. Money, is not required to find a wife. But when children start coming in, money is one important element, that will help a man sustain his marriage, and earn his respect and submission. Women do NOT like paying bills. Even if they have the means</t>
        </is>
      </c>
      <c r="H47" t="inlineStr">
        <is>
          <t>his wife's inactive poison. Money, is not required to find a wife. But when children start coming in, money is one important element, that will help a man sustain his marriage, and earn his respect and submission. Women do NOT like paying bills. Even if they have the means</t>
        </is>
      </c>
      <c r="I47" t="inlineStr">
        <is>
          <t>English</t>
        </is>
      </c>
    </row>
    <row r="48">
      <c r="A48" t="inlineStr">
        <is>
          <t>AGB_046</t>
        </is>
      </c>
      <c r="B48" t="inlineStr">
        <is>
          <t>Agba John Doe</t>
        </is>
      </c>
      <c r="C48" t="inlineStr">
        <is>
          <t>X</t>
        </is>
      </c>
      <c r="D48" t="inlineStr">
        <is>
          <t>Tweet</t>
        </is>
      </c>
      <c r="E48">
        <f>HYPERLINK("https://x.com/jon_d_doe/status/1663996245789089794","https://x.com/jon_d_doe/status/1663996245789089794")</f>
        <v/>
      </c>
      <c r="F48" t="inlineStr">
        <is>
          <t>Agba John Doe reflects on his marriage, choosing not to highlight negatives, and credits grace for his leadership.</t>
        </is>
      </c>
      <c r="G48" t="inlineStr">
        <is>
          <t>If I decide to look at my own marriage, and all I've been experiencing in it, you'll hardly see me come here to paint the negative sides of marriage. But I'll never do that because I've refused to see myself as an exception. With the grace of God and man, I've been leading my</t>
        </is>
      </c>
      <c r="H48" t="inlineStr">
        <is>
          <t>If I decide to look at my own marriage, and all I've been experiencing in it, you'll hardly see me come here to paint the negative sides of marriage. But I'll never do that because I've refused to see myself as an exception. With the grace of God and man, I've been leading my</t>
        </is>
      </c>
      <c r="I48" t="inlineStr">
        <is>
          <t>English</t>
        </is>
      </c>
    </row>
    <row r="49">
      <c r="A49" t="inlineStr">
        <is>
          <t>AGB_047</t>
        </is>
      </c>
      <c r="B49" t="inlineStr">
        <is>
          <t>Agba John Doe</t>
        </is>
      </c>
      <c r="C49" t="inlineStr">
        <is>
          <t>X</t>
        </is>
      </c>
      <c r="D49" t="inlineStr">
        <is>
          <t>Tweet</t>
        </is>
      </c>
      <c r="E49">
        <f>HYPERLINK("https://x.com/jon_d_doe/status/1663980911627517962","https://x.com/jon_d_doe/status/1663980911627517962")</f>
        <v/>
      </c>
      <c r="F49" t="inlineStr">
        <is>
          <t>A man praises his wife for supporting them financially during their three-year marriage while he is unemployed.</t>
        </is>
      </c>
      <c r="G49" t="inlineStr">
        <is>
          <t>11. Married for almost 3 years, without any job or reasonable side hustle. His wife has been in charge of all the bills. According to him, she's the best wife ever. Read! https://t.co/5TaVKVpUtD</t>
        </is>
      </c>
      <c r="H49" t="inlineStr">
        <is>
          <t>Married for almost 3 years, without any job or reasonable side hustle. His wife has been in charge of all the bills. According to him, she's the best wife ever. Read! https://t.co/5TaVKVpUtD</t>
        </is>
      </c>
      <c r="I49" t="inlineStr">
        <is>
          <t>Nigerian Pidgin</t>
        </is>
      </c>
    </row>
    <row r="50">
      <c r="A50" t="inlineStr">
        <is>
          <t>AGB_048</t>
        </is>
      </c>
      <c r="B50" t="inlineStr">
        <is>
          <t>Agba John Doe</t>
        </is>
      </c>
      <c r="C50" t="inlineStr">
        <is>
          <t>X</t>
        </is>
      </c>
      <c r="D50" t="inlineStr">
        <is>
          <t>Tweet</t>
        </is>
      </c>
      <c r="E50">
        <f>HYPERLINK("https://x.com/jon_d_doe/status/1663979994899464203","https://x.com/jon_d_doe/status/1663979994899464203")</f>
        <v/>
      </c>
      <c r="F50" t="inlineStr">
        <is>
          <t>Agba John Doe discusses marital strain following job and business loss, prompting readers to explore further via a link.</t>
        </is>
      </c>
      <c r="G50" t="inlineStr">
        <is>
          <t>10. Ever since he lost his job and business, his wife has made his life a living hell. Read! https://t.co/JqQBuEHN9Q</t>
        </is>
      </c>
      <c r="H50" t="inlineStr">
        <is>
          <t>10. Ever since he lost his job and business, his wife has made his life a living hell. Read! https://t.co/JqQBuEHN9Q</t>
        </is>
      </c>
      <c r="I50" t="inlineStr">
        <is>
          <t>English</t>
        </is>
      </c>
    </row>
    <row r="51">
      <c r="A51" t="inlineStr">
        <is>
          <t>AGB_049</t>
        </is>
      </c>
      <c r="B51" t="inlineStr">
        <is>
          <t>Agba John Doe</t>
        </is>
      </c>
      <c r="C51" t="inlineStr">
        <is>
          <t>X</t>
        </is>
      </c>
      <c r="D51" t="inlineStr">
        <is>
          <t>Tweet</t>
        </is>
      </c>
      <c r="E51">
        <f>HYPERLINK("https://x.com/jon_d_doe/status/1663976426515644417","https://x.com/jon_d_doe/status/1663976426515644417")</f>
        <v/>
      </c>
      <c r="F51" t="inlineStr">
        <is>
          <t>A man is motivated to improve his financial status as his wife earns significantly more than he does.</t>
        </is>
      </c>
      <c r="G51" t="inlineStr">
        <is>
          <t>5. His wife makes 5 times what he makes, but he doesn't rely on her money. He is also trying to level up with her because.... https://t.co/eDtnXbHKGm</t>
        </is>
      </c>
      <c r="H51" t="inlineStr">
        <is>
          <t>5. His wife makes 5 times what he makes, but he doesn't rely on her money. He is also trying to level up with her because.... https://t.co/eDtnXbHKGm</t>
        </is>
      </c>
      <c r="I51" t="inlineStr">
        <is>
          <t>English</t>
        </is>
      </c>
    </row>
    <row r="52">
      <c r="A52" t="inlineStr">
        <is>
          <t>AGB_050</t>
        </is>
      </c>
      <c r="B52" t="inlineStr">
        <is>
          <t>Agba John Doe</t>
        </is>
      </c>
      <c r="C52" t="inlineStr">
        <is>
          <t>X</t>
        </is>
      </c>
      <c r="D52" t="inlineStr">
        <is>
          <t>Tweet</t>
        </is>
      </c>
      <c r="E52">
        <f>HYPERLINK("https://x.com/jon_d_doe/status/1663974891501105152","https://x.com/jon_d_doe/status/1663974891501105152")</f>
        <v/>
      </c>
      <c r="F52" t="inlineStr">
        <is>
          <t>A man's marriage is failing after his business collapse and his wife leaving, despite marrying into wealth.</t>
        </is>
      </c>
      <c r="G52" t="inlineStr">
        <is>
          <t>3. He married into a wealthy family. His business crashed, and his wife moved out. 3 years of marriage, about to crash. https://t.co/OnB3MHUImm</t>
        </is>
      </c>
      <c r="H52" t="inlineStr">
        <is>
          <t>3. He married into a wealthy family. His business crashed, and his wife moved out. 3 years of marriage, about to crash. https://t.co/OnB3MHUImm</t>
        </is>
      </c>
      <c r="I52" t="inlineStr">
        <is>
          <t>English</t>
        </is>
      </c>
    </row>
    <row r="53">
      <c r="A53" t="inlineStr">
        <is>
          <t>AGB_051</t>
        </is>
      </c>
      <c r="B53" t="inlineStr">
        <is>
          <t>Agba John Doe</t>
        </is>
      </c>
      <c r="C53" t="inlineStr">
        <is>
          <t>X</t>
        </is>
      </c>
      <c r="D53" t="inlineStr">
        <is>
          <t>Tweet thread (merged)</t>
        </is>
      </c>
      <c r="E53">
        <f>HYPERLINK("https://x.com/jon_d_doe/status/1641155849115582478","https://x.com/jon_d_doe/status/1641155849115582478")</f>
        <v/>
      </c>
      <c r="F53" t="inlineStr">
        <is>
          <t>Merged Agba thread (12 consecutive tweets) — women manipulation / property / leadership</t>
        </is>
      </c>
      <c r="G53" t="inlineStr">
        <is>
          <t>emotional and because you, as the man, has a soft spot for her, you fail to recognize when she's being manipulative. And the more you keep falling for it, the more trouble you're building up for the future. Stand firm when it's necessary &amp; let her know that yes you care for hate either. You're grooming her into a woman that will serve you and help you fulfil your purpose. No man achieves anything, if he has a bad wife. And sometimes, men enable their wives to be bad. Imagine a woman you married, looking all innocent, loving and caring. of your wife. I wasn't just playing with words. Your wife will poke her fingers in your eyes, and ask you if it's painful? It doesn't matter for how long you have known her, or for how long you've been married. Always stay 5 steps ahead of her. It's not wickedness. It's not you may just be shooting yourself in the foot. If God thought of them as capable of being on their own, &amp; make decisions that will be of immense help to them, God would not have made men the head of the home &amp; the leader. Today, I talked about triggering the inactive "poison" know. And when I make certain decisions, it's not because of selfishness. Or because I don't value &amp; appreciate her. I'm being careful not to turn her into what I'll regret, later. As a man, if you assume that your wife is an adult &amp; can make key decisions on her own, blame me for it, because they see my wife as a woman who cannot hurt a fly. What they don't understand is that a woman can be perceived as not being able to hurt a fly, because of the man she's under his authority. If you lead your wife the wrong way, you'll be amazed as to very end. Even if she is pretending, let her pretend well. Don't work your butt off, &amp; lose it all just because you want to show love. She'll take advantage of your stupidity. It should always be a carrot &amp; stick approach. I hope we all learn &amp; stop being too weak. End. is saying it to keep manipulating you. If you lose your guard and say "I did it because she loves me", you will see the other side of her. You must keep leading her in a way that she will never take advantage of your soft heart towards her. Let her show her loyalty till the and she was not happy he did that. Next one he bought, he decided to add her name to it. What happened? They divorced and he lost the property to her. I'm sure she must have told him that she loved him and she felt betrayed by his decision not to jointly add her name to the property. She manipulated him &amp; he fell for it. Don't ever think women don't know what they're doing. When you see them come for me, when I make certain tweets, it's all to escape accountability and stop me from exposing their manipulative ways. A woman telling she loves you, husband's name. People change, and as they change, their loyalty will change. Which is why I also said, if the wife proves to be a good wife to the man, he can will his assets to her and the children. He bought landed properties in his name, took his wife there to show her, still alive. Go to him &amp; tell him your concerns. He'll advise you &amp; I'm sure he'll tell you that love is never enough to be with a wife. I also think your wife pampers you so much &amp; you feel it's too good to be true. Wait, until you meet a jezebel, you'll appreciate her. End.</t>
        </is>
      </c>
      <c r="H53" t="inlineStr">
        <is>
          <t>Emotional and because you, as the man, have a soft spot for her, you fail to recognize when she's being manipulative. And the more you keep falling for it, the more trouble you're building up for the future. Stand firm when it's necessary and let her know that yes, you care for her, but you won't tolerate manipulation either. You're grooming her into a woman that will serve you and help you fulfill your purpose. No man achieves anything if he has a bad wife. And sometimes, men enable their wives to be bad. Imagine a woman you married, looking all innocent, loving, and caring. I wasn't just playing with words. Your wife will poke her fingers in your eyes and ask you if it's painful? It doesn't matter how long you have known her or how long you've been married. Always stay five steps ahead of her. It's not wickedness. It's just being cautious. You may just be shooting yourself in the foot. If God thought of them as capable of being on their own and making decisions that will be of immense help to them, God would not have made men the head of the home and the leader. Today, I talked about triggering the inactive "poison" in women. And when I make certain decisions, it's not because of selfishness or because I don't value and appreciate her. I'm being careful not to turn her into something I'll regret later. As a man, if you assume that your wife is an adult and can make key decisions on her own, blame me for it, because they see my wife as a woman who cannot hurt a fly. What they don't understand is that a woman can be perceived as not being able to hurt a fly because of the man she's under. If you lead your wife the wrong way, you'll be amazed at the end. Even if she is pretending, let her pretend well. Don't work hard and lose it all just because you want to show love. She'll take advantage of your foolishness. It should always be a carrot and stick approach. I hope we all learn and stop being too weak. End.</t>
        </is>
      </c>
      <c r="I53" t="inlineStr">
        <is>
          <t>Nigerian Pidgin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s="1" t="inlineStr">
        <is>
          <t>content_id</t>
        </is>
      </c>
      <c r="B1" s="1" t="inlineStr">
        <is>
          <t>creator</t>
        </is>
      </c>
      <c r="C1" s="1" t="inlineStr">
        <is>
          <t>platform</t>
        </is>
      </c>
      <c r="D1" s="1" t="inlineStr">
        <is>
          <t>content_type</t>
        </is>
      </c>
      <c r="E1" s="1" t="inlineStr">
        <is>
          <t>source_url</t>
        </is>
      </c>
      <c r="F1" s="1" t="inlineStr">
        <is>
          <t>context</t>
        </is>
      </c>
      <c r="G1" s="1" t="inlineStr">
        <is>
          <t>text_original</t>
        </is>
      </c>
      <c r="H1" s="1" t="inlineStr">
        <is>
          <t>text_english</t>
        </is>
      </c>
      <c r="I1" s="1" t="inlineStr">
        <is>
          <t>language_detected</t>
        </is>
      </c>
    </row>
    <row r="2">
      <c r="A2" t="inlineStr">
        <is>
          <t>BNK_001</t>
        </is>
      </c>
      <c r="B2" t="inlineStr">
        <is>
          <t>Banky Wellington</t>
        </is>
      </c>
      <c r="C2" t="inlineStr">
        <is>
          <t>YouTube (MENtality podcast)</t>
        </is>
      </c>
      <c r="D2" t="inlineStr">
        <is>
          <t>Podcast snippet</t>
        </is>
      </c>
      <c r="E2">
        <f>HYPERLINK("https://www.youtube.com/watch?v=f6WW9g5hqLI","https://www.youtube.com/watch?v=f6WW9g5hqLI")</f>
        <v/>
      </c>
      <c r="F2" t="inlineStr">
        <is>
          <t>Banky W discusses Nigerian cultural views on wealth and respect, emphasizing teaching his sons the value of process over mere results.</t>
        </is>
      </c>
      <c r="G2"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c r="H2" t="inlineStr">
        <is>
          <t>My wife and I have two sons. Is this an African or Nigerian thing? Many African countries have similar issues, but I don't have the answer. I keep hearing that it's a Nigerian thing. Nigerians are materialistic, and Nigerian men are known for dating women from other countries because we have money. My wife and I discussed this, especially since our older son is about to turn five. We talked about how in Nigeria, having wealth, regardless of how you acquired it, earns you respect. You're seen as a successful role model, even if your wealth comes from dishonest means. It's not about how you got the money; it's about having it. We decided that when raising our sons, we need to focus on celebrating the process of learning and effort, not just the end results like grades.</t>
        </is>
      </c>
      <c r="I2" t="inlineStr">
        <is>
          <t>English</t>
        </is>
      </c>
    </row>
    <row r="3">
      <c r="A3" t="inlineStr">
        <is>
          <t>BNK_002</t>
        </is>
      </c>
      <c r="B3" t="inlineStr">
        <is>
          <t>Banky Wellington</t>
        </is>
      </c>
      <c r="C3" t="inlineStr">
        <is>
          <t>YouTube (MENtality podcast)</t>
        </is>
      </c>
      <c r="D3" t="inlineStr">
        <is>
          <t>Podcast snippet</t>
        </is>
      </c>
      <c r="E3">
        <f>HYPERLINK("https://www.youtube.com/watch?v=f6WW9g5hqLI","https://www.youtube.com/watch?v=f6WW9g5hqLI")</f>
        <v/>
      </c>
      <c r="F3" t="inlineStr">
        <is>
          <t>Banky W discusses how masculinity in Nigeria is often linked to income, exploring pressures from family, society, spouses, and friends.</t>
        </is>
      </c>
      <c r="G3"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c r="H3" t="inlineStr">
        <is>
          <t>Before we move on, I want to ask everyone about the pressure we feel regarding self-worth and income in Nigeria. Do you feel that your self-worth is tied to your income? I mostly do. I want to hear your rankings of where you feel the most pressure: family, society, spouse, or friends. Family pressure is intense, especially for first sons. There are expectations to fulfill certain roles. Societal pressure is also significant, and since everyone here is married, there's spousal pressure too. In friend groups, there's often a hierarchy based on who has the most money, which influences decisions about where to hang out or eat. I want to hear your rankings.</t>
        </is>
      </c>
      <c r="I3" t="inlineStr">
        <is>
          <t>English</t>
        </is>
      </c>
    </row>
    <row r="4">
      <c r="A4" t="inlineStr">
        <is>
          <t>BNK_003</t>
        </is>
      </c>
      <c r="B4" t="inlineStr">
        <is>
          <t>Banky Wellington</t>
        </is>
      </c>
      <c r="C4" t="inlineStr">
        <is>
          <t>YouTube (MENtality podcast)</t>
        </is>
      </c>
      <c r="D4" t="inlineStr">
        <is>
          <t>Podcast snippet</t>
        </is>
      </c>
      <c r="E4">
        <f>HYPERLINK("https://www.youtube.com/watch?v=f6WW9g5hqLI","https://www.youtube.com/watch?v=f6WW9g5hqLI")</f>
        <v/>
      </c>
      <c r="F4" t="inlineStr">
        <is>
          <t>Banky W discusses the internal pressures men face regarding success and providing for family, influenced by societal and personal expectations.</t>
        </is>
      </c>
      <c r="G4"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c r="H4" t="inlineStr">
        <is>
          <t>I completely agree. These are things that men rarely discuss, but we all know them. The guy with the most money often decides where we go because he’s likely to pay. My ranking is family, spouse, society, and then friends. For me, the biggest pressure is internal, influenced by all these factors. Internally, as a man, there's an expectation to be successful and provide for your family. Everyone has seasons of ups and downs, and during tough times, I feel bad about myself, not necessarily because of external pressures but because I feel I should be doing better. My kids just want me around; they don’t care about money. But I feel the internal pressure to provide a good life for them. Men often don’t talk about these feelings, so we might discuss sports or politics, but rarely do we share our struggles with anxiety or pressure.</t>
        </is>
      </c>
      <c r="I4" t="inlineStr">
        <is>
          <t>English</t>
        </is>
      </c>
    </row>
    <row r="5">
      <c r="A5" t="inlineStr">
        <is>
          <t>BNK_004</t>
        </is>
      </c>
      <c r="B5" t="inlineStr">
        <is>
          <t>Banky Wellington</t>
        </is>
      </c>
      <c r="C5" t="inlineStr">
        <is>
          <t>YouTube (MENtality podcast)</t>
        </is>
      </c>
      <c r="D5" t="inlineStr">
        <is>
          <t>Podcast snippet</t>
        </is>
      </c>
      <c r="E5">
        <f>HYPERLINK("https://www.youtube.com/watch?v=f6WW9g5hqLI","https://www.youtube.com/watch?v=f6WW9g5hqLI")</f>
        <v/>
      </c>
      <c r="F5" t="inlineStr">
        <is>
          <t>Banky W discusses the pressure on Nigerian men to prioritize financial responsibilities over emotional healing after losing a loved one.</t>
        </is>
      </c>
      <c r="G5"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H5"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I5" t="inlineStr">
        <is>
          <t>English</t>
        </is>
      </c>
    </row>
    <row r="6">
      <c r="A6" t="inlineStr">
        <is>
          <t>BNK_005</t>
        </is>
      </c>
      <c r="B6" t="inlineStr">
        <is>
          <t>Banky Wellington</t>
        </is>
      </c>
      <c r="C6" t="inlineStr">
        <is>
          <t>YouTube (MENtality podcast)</t>
        </is>
      </c>
      <c r="D6" t="inlineStr">
        <is>
          <t>Podcast snippet</t>
        </is>
      </c>
      <c r="E6">
        <f>HYPERLINK("https://www.youtube.com/watch?v=f6WW9g5hqLI","https://www.youtube.com/watch?v=f6WW9g5hqLI")</f>
        <v/>
      </c>
      <c r="F6" t="inlineStr">
        <is>
          <t>Banky W discusses transparency in finances with his wife, emphasizing realistic expectations and avoiding comparisons to celebrities like Jay-Z.</t>
        </is>
      </c>
      <c r="G6" t="inlineStr">
        <is>
          <t>I do. I tell my wife everything I make. She knows how much it is. She knows everything. She doesn't go and misbehave. This is exactly what we are worth. Don't go outside and start thinking you are married to Jay-Z.</t>
        </is>
      </c>
      <c r="H6" t="inlineStr">
        <is>
          <t>I tell my wife everything about my income. She knows exactly how much I make, and she doesn’t act out of line. This is our financial reality; she shouldn’t think she’s married to someone like Jay-Z.</t>
        </is>
      </c>
      <c r="I6" t="inlineStr">
        <is>
          <t>English</t>
        </is>
      </c>
    </row>
    <row r="7">
      <c r="A7" t="inlineStr">
        <is>
          <t>BNK_006</t>
        </is>
      </c>
      <c r="B7" t="inlineStr">
        <is>
          <t>Banky Wellington</t>
        </is>
      </c>
      <c r="C7" t="inlineStr">
        <is>
          <t>YouTube (MENtality podcast)</t>
        </is>
      </c>
      <c r="D7" t="inlineStr">
        <is>
          <t>Podcast snippet</t>
        </is>
      </c>
      <c r="E7">
        <f>HYPERLINK("https://www.youtube.com/watch?v=f6WW9g5hqLI","https://www.youtube.com/watch?v=f6WW9g5hqLI")</f>
        <v/>
      </c>
      <c r="F7" t="inlineStr">
        <is>
          <t>Banky W discusses the concept of shared family finances, emphasizing that money belongs to the children, highlighting Nigerian cultural values.</t>
        </is>
      </c>
      <c r="G7" t="inlineStr">
        <is>
          <t>I believe it's our money. Our money is the children. The kids, it's their money. They have access to all the money.</t>
        </is>
      </c>
      <c r="H7" t="inlineStr">
        <is>
          <t>I believe it's our money. Our money is the children. The kids, it's their money. They have access to all the money.</t>
        </is>
      </c>
      <c r="I7" t="inlineStr">
        <is>
          <t>English</t>
        </is>
      </c>
    </row>
    <row r="8">
      <c r="A8" t="inlineStr">
        <is>
          <t>BNK_007</t>
        </is>
      </c>
      <c r="B8" t="inlineStr">
        <is>
          <t>Banky Wellington</t>
        </is>
      </c>
      <c r="C8" t="inlineStr">
        <is>
          <t>YouTube (MENtality podcast)</t>
        </is>
      </c>
      <c r="D8" t="inlineStr">
        <is>
          <t>Podcast snippet</t>
        </is>
      </c>
      <c r="E8">
        <f>HYPERLINK("https://www.youtube.com/watch?v=f6WW9g5hqLI","https://www.youtube.com/watch?v=f6WW9g5hqLI")</f>
        <v/>
      </c>
      <c r="F8" t="inlineStr">
        <is>
          <t>Banky W discusses financial transparency and shared access in relationships, emphasizing trust and independence in managing joint finances.</t>
        </is>
      </c>
      <c r="G8"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c r="H8" t="inlineStr">
        <is>
          <t>She knows everything about our finances. She can access our joint account, which means she has my bank password and account code. A joint account is necessary for her to spend on things she can’t afford with her own money. She can spend from it without always needing to ask me, as she has direct access.</t>
        </is>
      </c>
      <c r="I8" t="inlineStr">
        <is>
          <t>English</t>
        </is>
      </c>
    </row>
    <row r="9">
      <c r="A9" t="inlineStr">
        <is>
          <t>BNK_008</t>
        </is>
      </c>
      <c r="B9" t="inlineStr">
        <is>
          <t>Banky Wellington</t>
        </is>
      </c>
      <c r="C9" t="inlineStr">
        <is>
          <t>YouTube (MENtality podcast)</t>
        </is>
      </c>
      <c r="D9" t="inlineStr">
        <is>
          <t>Podcast snippet</t>
        </is>
      </c>
      <c r="E9">
        <f>HYPERLINK("https://www.youtube.com/watch?v=f6WW9g5hqLI","https://www.youtube.com/watch?v=f6WW9g5hqLI")</f>
        <v/>
      </c>
      <c r="F9" t="inlineStr">
        <is>
          <t>Banky W discusses the misinterpretation of 1 Timothy 5:8 regarding masculinity and financial provision, emphasizing the importance of understanding biblical context.</t>
        </is>
      </c>
      <c r="G9"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c r="H9" t="inlineStr">
        <is>
          <t>One verse people often cite when discussing this topic is from 1 Timothy 5:8, which says that a man who does not provide for his family is worse than an infidel. Those are harsh words, but we need to consider the entire context of the scripture. The problem arises when people take one verse out of context. This verse was written by Paul to Timothy, addressing specific situations in the church. It’s about not using your faith as an excuse to neglect your family. The chapter discusses caring for widows and emphasizes that true spirituality involves relationships with people, not just with God.</t>
        </is>
      </c>
      <c r="I9" t="inlineStr">
        <is>
          <t>English</t>
        </is>
      </c>
    </row>
    <row r="10">
      <c r="A10" t="inlineStr">
        <is>
          <t>BNK_009</t>
        </is>
      </c>
      <c r="B10" t="inlineStr">
        <is>
          <t>Banky Wellington</t>
        </is>
      </c>
      <c r="C10" t="inlineStr">
        <is>
          <t>YouTube (MENtality podcast)</t>
        </is>
      </c>
      <c r="D10" t="inlineStr">
        <is>
          <t>Podcast snippet</t>
        </is>
      </c>
      <c r="E10">
        <f>HYPERLINK("https://www.youtube.com/watch?v=f6WW9g5hqLI","https://www.youtube.com/watch?v=f6WW9g5hqLI")</f>
        <v/>
      </c>
      <c r="F10" t="inlineStr">
        <is>
          <t>Banky W discusses the misinterpretation of scripture regarding family neglect in the context of masculinity and financial responsibility.</t>
        </is>
      </c>
      <c r="G10"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c r="H10" t="inlineStr">
        <is>
          <t>People often take verses out of context to fit their narrative. The verse about being worse than an infidel is actually Paul advising against neglecting your family while claiming to serve God. If you ignore your family’s needs because you’re focused on your faith, then you’re worse than an infidel. It’s not about lacking the ability to earn or facing hard times.</t>
        </is>
      </c>
      <c r="I10" t="inlineStr">
        <is>
          <t>English</t>
        </is>
      </c>
    </row>
    <row r="11">
      <c r="A11" t="inlineStr">
        <is>
          <t>BNK_010</t>
        </is>
      </c>
      <c r="B11" t="inlineStr">
        <is>
          <t>Banky Wellington</t>
        </is>
      </c>
      <c r="C11" t="inlineStr">
        <is>
          <t>YouTube (MENtality podcast)</t>
        </is>
      </c>
      <c r="D11" t="inlineStr">
        <is>
          <t>Podcast snippet</t>
        </is>
      </c>
      <c r="E11">
        <f>HYPERLINK("https://www.youtube.com/watch?v=f6WW9g5hqLI","https://www.youtube.com/watch?v=f6WW9g5hqLI")</f>
        <v/>
      </c>
      <c r="F11" t="inlineStr">
        <is>
          <t>Banky W discusses the pressures of social media on masculinity, beauty, and romance, highlighting unrealistic standards and their impact on mental health.</t>
        </is>
      </c>
      <c r="G11"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c r="H11" t="inlineStr">
        <is>
          <t>This discussion isn’t just about financial pressure; it also includes societal pressures regarding beauty and romance. In the past, your options for dating were limited to your school or community, but now you can see idealized images of women from all over the world, creating unrealistic standards. I once read about a girl who felt so pressured by these standards that she took her own life. Social media has changed how we perceive beauty and success, leading to unhealthy comparisons.</t>
        </is>
      </c>
      <c r="I11" t="inlineStr">
        <is>
          <t>English</t>
        </is>
      </c>
    </row>
    <row r="12">
      <c r="A12" t="inlineStr">
        <is>
          <t>BNK_011</t>
        </is>
      </c>
      <c r="B12" t="inlineStr">
        <is>
          <t>Banky Wellington</t>
        </is>
      </c>
      <c r="C12" t="inlineStr">
        <is>
          <t>YouTube (MENtality podcast)</t>
        </is>
      </c>
      <c r="D12" t="inlineStr">
        <is>
          <t>Podcast snippet</t>
        </is>
      </c>
      <c r="E12">
        <f>HYPERLINK("https://www.youtube.com/watch?v=f6WW9g5hqLI","https://www.youtube.com/watch?v=f6WW9g5hqLI")</f>
        <v/>
      </c>
      <c r="F12" t="inlineStr">
        <is>
          <t>Banky W discusses societal pressures on men to provide and protect, highlighting challenges faced by those with fewer resources.</t>
        </is>
      </c>
      <c r="G12"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c r="H12" t="inlineStr">
        <is>
          <t>Let’s return to the point about the pressure on men to protect and provide for their families. This pressure is very real, regardless of social status, and it’s especially difficult for those who have less. So, what do we do about it?</t>
        </is>
      </c>
      <c r="I12" t="inlineStr">
        <is>
          <t>English</t>
        </is>
      </c>
    </row>
    <row r="13">
      <c r="A13" t="inlineStr">
        <is>
          <t>BNK_012</t>
        </is>
      </c>
      <c r="B13" t="inlineStr">
        <is>
          <t>Banky Wellington</t>
        </is>
      </c>
      <c r="C13" t="inlineStr">
        <is>
          <t>YouTube (MENtality podcast)</t>
        </is>
      </c>
      <c r="D13" t="inlineStr">
        <is>
          <t>Podcast snippet</t>
        </is>
      </c>
      <c r="E13">
        <f>HYPERLINK("https://www.youtube.com/watch?v=f6WW9g5hqLI","https://www.youtube.com/watch?v=f6WW9g5hqLI")</f>
        <v/>
      </c>
      <c r="F13" t="inlineStr">
        <is>
          <t>Banky W discusses societal pressures on Nigerian men to display wealth, highlighting 'black tax' and expectations tied to masculinity.</t>
        </is>
      </c>
      <c r="G13"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c r="H13" t="inlineStr">
        <is>
          <t>Once you start to succeed, black tax kicks in. There’s an expectation, especially for men, to support others financially. This ties back to what Shion mentioned about societal pressure. For many Nigerians, societal expectations are the heaviest burden. We often act in ways to be perceived positively by others. You want to be recognized at events, and there’s a lot of unspoken pressure to maintain a certain image. This pressure can lead to unhealthy comparisons, especially when you see friends achieving milestones.</t>
        </is>
      </c>
      <c r="I13" t="inlineStr">
        <is>
          <t>English</t>
        </is>
      </c>
    </row>
    <row r="14">
      <c r="A14" t="inlineStr">
        <is>
          <t>BNK_013</t>
        </is>
      </c>
      <c r="B14" t="inlineStr">
        <is>
          <t>Banky Wellington</t>
        </is>
      </c>
      <c r="C14" t="inlineStr">
        <is>
          <t>YouTube (MENtality podcast)</t>
        </is>
      </c>
      <c r="D14" t="inlineStr">
        <is>
          <t>Podcast snippet</t>
        </is>
      </c>
      <c r="E14">
        <f>HYPERLINK("https://www.youtube.com/watch?v=f6WW9g5hqLI","https://www.youtube.com/watch?v=f6WW9g5hqLI")</f>
        <v/>
      </c>
      <c r="F14" t="inlineStr">
        <is>
          <t>Banky W discusses societal pressures on men regarding wealth and self-worth, highlighting a personal experience with public judgment over his car.</t>
        </is>
      </c>
      <c r="G14"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c r="H14" t="inlineStr">
        <is>
          <t>I remember a few years ago when I went grocery shopping, and some girls filmed me leaving the store and posted it online, mocking my car, which was seven years old. They didn’t consider that I might be saving for my family or building a house. They just focused on the fact that I wasn’t driving a brand-new car. This expectation from society can be damaging, as it leads men to seek validation from social media, which can also be a source of condemnation.</t>
        </is>
      </c>
      <c r="I14" t="inlineStr">
        <is>
          <t>English</t>
        </is>
      </c>
    </row>
    <row r="15">
      <c r="A15" t="inlineStr">
        <is>
          <t>BNK_014</t>
        </is>
      </c>
      <c r="B15" t="inlineStr">
        <is>
          <t>Banky Wellington</t>
        </is>
      </c>
      <c r="C15" t="inlineStr">
        <is>
          <t>YouTube (MENtality podcast)</t>
        </is>
      </c>
      <c r="D15" t="inlineStr">
        <is>
          <t>Podcast snippet</t>
        </is>
      </c>
      <c r="E15">
        <f>HYPERLINK("https://www.youtube.com/watch?v=f6WW9g5hqLI","https://www.youtube.com/watch?v=f6WW9g5hqLI")</f>
        <v/>
      </c>
      <c r="F15" t="inlineStr">
        <is>
          <t>Banky W discusses the pressures of masculinity in Nigeria, emphasizing giving, presence, and values over financial success.</t>
        </is>
      </c>
      <c r="G15"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c r="H15" t="inlineStr">
        <is>
          <t>Thank you both for your insights. I won’t repeat what you said because it was well articulated. The common theme I see is that being a man, or a great man, is about more than just what you can acquire; it’s about what you can give. This mindset shouldn’t be limited to financial success. In Nigeria, being a man means taking on responsibilities like paying bills and supporting multiple people. While it’s important to work hard and provide, we must also recognize that being present for our families, showing love, and instilling values in our children is equally important. Just being there for your family can make you a superhero.</t>
        </is>
      </c>
      <c r="I15" t="inlineStr">
        <is>
          <t>English</t>
        </is>
      </c>
    </row>
    <row r="16">
      <c r="A16" t="inlineStr">
        <is>
          <t>BNK_015</t>
        </is>
      </c>
      <c r="B16" t="inlineStr">
        <is>
          <t>Banky Wellington</t>
        </is>
      </c>
      <c r="C16" t="inlineStr">
        <is>
          <t>YouTube (MENtality podcast)</t>
        </is>
      </c>
      <c r="D16" t="inlineStr">
        <is>
          <t>Podcast snippet</t>
        </is>
      </c>
      <c r="E16">
        <f>HYPERLINK("https://www.youtube.com/watch?v=mU5uAVhVEzA","https://www.youtube.com/watch?v=mU5uAVhVEzA")</f>
        <v/>
      </c>
      <c r="F16" t="inlineStr">
        <is>
          <t>Banky W discusses how early experiences with rejection and toxic relationships shape men's perceptions of masculinity and influence their romantic relationships.</t>
        </is>
      </c>
      <c r="G16"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c r="H16" t="inlineStr">
        <is>
          <t>I think it’s funny, but many men have moments that shape who they become. We learn to deal with rejection from a young age, whether it’s trying to ask a girl out or facing disappointment. My own heartbreak story happened when I was in university. I fell for a girl who ended up in a toxic relationship with me, where I was always apologizing. One day, after a fight, I went to her apartment, and the police were called on me for being persistent. That experience made me vow never to let a woman have that kind of power over me again. But I realized that to have a healthy relationship in the future, I needed to heal from that experience.</t>
        </is>
      </c>
      <c r="I16" t="inlineStr">
        <is>
          <t>English</t>
        </is>
      </c>
    </row>
    <row r="17">
      <c r="A17" t="inlineStr">
        <is>
          <t>BNK_016</t>
        </is>
      </c>
      <c r="B17" t="inlineStr">
        <is>
          <t>Banky Wellington</t>
        </is>
      </c>
      <c r="C17" t="inlineStr">
        <is>
          <t>YouTube (MENtality podcast)</t>
        </is>
      </c>
      <c r="D17" t="inlineStr">
        <is>
          <t>Podcast snippet</t>
        </is>
      </c>
      <c r="E17">
        <f>HYPERLINK("https://www.youtube.com/watch?v=mU5uAVhVEzA","https://www.youtube.com/watch?v=mU5uAVhVEzA")</f>
        <v/>
      </c>
      <c r="F17" t="inlineStr">
        <is>
          <t>Banky W discusses the importance of communication in relationships, highlighting financial issues and the need for mutual understanding between partners.</t>
        </is>
      </c>
      <c r="G17"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c r="H17" t="inlineStr">
        <is>
          <t>I believe communication is a major issue. Everyone loves money, and it’s important to understand your partner. Women often wonder if their partner will support them after going through tough times together. There are many cases where women stand by their partners, but when it’s time to provide, things fall apart. We need to address this missing link in conversations about relationships.</t>
        </is>
      </c>
      <c r="I17" t="inlineStr">
        <is>
          <t>English</t>
        </is>
      </c>
    </row>
    <row r="18">
      <c r="A18" t="inlineStr">
        <is>
          <t>BNK_017</t>
        </is>
      </c>
      <c r="B18" t="inlineStr">
        <is>
          <t>Banky Wellington</t>
        </is>
      </c>
      <c r="C18" t="inlineStr">
        <is>
          <t>YouTube (MENtality podcast)</t>
        </is>
      </c>
      <c r="D18" t="inlineStr">
        <is>
          <t>Podcast snippet</t>
        </is>
      </c>
      <c r="E18">
        <f>HYPERLINK("https://www.youtube.com/watch?v=mU5uAVhVEzA","https://www.youtube.com/watch?v=mU5uAVhVEzA")</f>
        <v/>
      </c>
      <c r="F18" t="inlineStr">
        <is>
          <t>Banky W discusses the responsibility of confronting a friend's reckless behavior in relationships to maintain personal peace and integrity.</t>
        </is>
      </c>
      <c r="G18"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c r="H18" t="inlineStr">
        <is>
          <t>You mentioned it depends on how a man cheats. If a friend is being reckless and it affects your peace at home, it’s your responsibility to address it. You can’t ignore it, especially if you share a community or church with him.</t>
        </is>
      </c>
      <c r="I18" t="inlineStr">
        <is>
          <t>English</t>
        </is>
      </c>
    </row>
    <row r="19">
      <c r="A19" t="inlineStr">
        <is>
          <t>BNK_018</t>
        </is>
      </c>
      <c r="B19" t="inlineStr">
        <is>
          <t>Banky Wellington</t>
        </is>
      </c>
      <c r="C19" t="inlineStr">
        <is>
          <t>YouTube (MENtality podcast)</t>
        </is>
      </c>
      <c r="D19" t="inlineStr">
        <is>
          <t>Podcast snippet</t>
        </is>
      </c>
      <c r="E19">
        <f>HYPERLINK("https://www.youtube.com/watch?v=mU5uAVhVEzA","https://www.youtube.com/watch?v=mU5uAVhVEzA")</f>
        <v/>
      </c>
      <c r="F19" t="inlineStr">
        <is>
          <t>Banky W discusses the dangers of generalizing about Nigerian men and women, advocating for monogamy with or without religious belief.</t>
        </is>
      </c>
      <c r="G19"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c r="H19" t="inlineStr">
        <is>
          <t>This is my honest response, and you can disagree with me if you want. But I think we should be cautious about making sweeping generalizations. Saying that everyone is cheating, or that Lagos women are like this, or Nigerian men are like that, creates unfair assumptions about everyone. The danger is that it not only makes everyone guilty by association, but it also shapes the expectations of our children and future generations, leading them to believe that this is how things are and that they have to accept it. I don't believe monogamy is impossible; however, I think it is achievable with God. We had a conversation off-air about this, and I believe that even without God, monogamy is very possible based on my experience. When God is involved, you answer to a higher authority, which helps you set boundaries. For those of us who believe in that, it becomes easier to adhere to. So when we say things like 'everyone is cheating' or 'Lagos women are like this,' I think we are making unfair assumptions about an entire group of people, and that is simply not true. It's neither fair nor accurate.</t>
        </is>
      </c>
      <c r="I19" t="inlineStr">
        <is>
          <t>English</t>
        </is>
      </c>
    </row>
    <row r="20">
      <c r="A20" t="inlineStr">
        <is>
          <t>BNK_019</t>
        </is>
      </c>
      <c r="B20" t="inlineStr">
        <is>
          <t>Banky Wellington</t>
        </is>
      </c>
      <c r="C20" t="inlineStr">
        <is>
          <t>YouTube (MENtality podcast)</t>
        </is>
      </c>
      <c r="D20" t="inlineStr">
        <is>
          <t>Podcast snippet</t>
        </is>
      </c>
      <c r="E20">
        <f>HYPERLINK("https://www.youtube.com/watch?v=mU5uAVhVEzA","https://www.youtube.com/watch?v=mU5uAVhVEzA")</f>
        <v/>
      </c>
      <c r="F20" t="inlineStr">
        <is>
          <t>Banky W discusses how lack of commitment, not finances or infidelity, is the main reason for marriage breakdowns, highlighting deeper issues.</t>
        </is>
      </c>
      <c r="G20"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c r="H20" t="inlineStr">
        <is>
          <t>I was expecting them to say that more men cheat, but what you just read is different. Maybe they focused on certain men. The crazy thing is, right before our break, I was looking up something because we were discussing how you mentioned that finances are the biggest reason for marriage breakdowns. But according to research, including what I found on ChatGPT, it's not finances. Guess what? It's not even infidelity. It's lack of commitment. It's when two people enter a marriage and give up on it. They stop investing, communicating, and dealing with issues. They just coexist and mentally check out. Issues like finances can be worked on if both are committed. But if you subconsciously give up, it's just a matter of time before it falls apart. That's why divorce papers often cite 'irreconcilable differences.' It's not as simple as saying, 'he has no money' or 'she cheated.' There's usually a deeper issue that hasn't been addressed. Infidelity can be a symptom, not the root cause.</t>
        </is>
      </c>
      <c r="I20" t="inlineStr">
        <is>
          <t>Mixed (Pidgin + English)</t>
        </is>
      </c>
    </row>
    <row r="21">
      <c r="A21" t="inlineStr">
        <is>
          <t>BNK_020</t>
        </is>
      </c>
      <c r="B21" t="inlineStr">
        <is>
          <t>Banky Wellington</t>
        </is>
      </c>
      <c r="C21" t="inlineStr">
        <is>
          <t>YouTube (MENtality podcast)</t>
        </is>
      </c>
      <c r="D21" t="inlineStr">
        <is>
          <t>Podcast snippet</t>
        </is>
      </c>
      <c r="E21">
        <f>HYPERLINK("https://www.youtube.com/watch?v=mU5uAVhVEzA","https://www.youtube.com/watch?v=mU5uAVhVEzA")</f>
        <v/>
      </c>
      <c r="F21" t="inlineStr">
        <is>
          <t>Banky W discusses the importance of avoiding idealizing past marriages, emphasizing the need for healthy, abuse-free relationships over mere endurance.</t>
        </is>
      </c>
      <c r="G21"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c r="H21" t="inlineStr">
        <is>
          <t>My concern is that we need to be careful when looking at marriages from previous generations through rose-colored glasses. Back in the day, a man could beat his wife severely, and people would tell her to stay and pray for him. If you're a victim of domestic violence, pack your bags and leave. Because when you die, everyone will say, 'if I had known.' We need to be cautious about saying that in our parents' time, they stayed together no matter what, while enduring all kinds of abuse and mistreatment. This isn't just physical abuse; emotional abuse can be just as harmful. They would tolerate it. So, I don't think we should settle for just staying together. We should aim to stay together while working on being better individuals to ensure a functional, healthy, and happy home, rather than just staying together for the sake of it. Two miserable people who resent each other is not a way to live. Marriage should be something we enjoy, not endure.</t>
        </is>
      </c>
      <c r="I21" t="inlineStr">
        <is>
          <t>English</t>
        </is>
      </c>
    </row>
    <row r="22">
      <c r="A22" t="inlineStr">
        <is>
          <t>BNK_021</t>
        </is>
      </c>
      <c r="B22" t="inlineStr">
        <is>
          <t>Banky Wellington</t>
        </is>
      </c>
      <c r="C22" t="inlineStr">
        <is>
          <t>YouTube (MENtality podcast)</t>
        </is>
      </c>
      <c r="D22" t="inlineStr">
        <is>
          <t>Podcast snippet</t>
        </is>
      </c>
      <c r="E22">
        <f>HYPERLINK("https://www.youtube.com/watch?v=mU5uAVhVEzA","https://www.youtube.com/watch?v=mU5uAVhVEzA")</f>
        <v/>
      </c>
      <c r="F22" t="inlineStr">
        <is>
          <t>Banky W discusses the importance of mutual self-improvement and commitment in marriage, highlighting potential issues if one partner fails to contribute.</t>
        </is>
      </c>
      <c r="G22"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c r="H22"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c r="I22" t="inlineStr">
        <is>
          <t>English</t>
        </is>
      </c>
    </row>
    <row r="23">
      <c r="A23" t="inlineStr">
        <is>
          <t>BNK_022</t>
        </is>
      </c>
      <c r="B23" t="inlineStr">
        <is>
          <t>Banky Wellington</t>
        </is>
      </c>
      <c r="C23" t="inlineStr">
        <is>
          <t>YouTube (MENtality podcast)</t>
        </is>
      </c>
      <c r="D23" t="inlineStr">
        <is>
          <t>Podcast snippet</t>
        </is>
      </c>
      <c r="E23">
        <f>HYPERLINK("https://www.youtube.com/watch?v=mU5uAVhVEzA","https://www.youtube.com/watch?v=mU5uAVhVEzA")</f>
        <v/>
      </c>
      <c r="F23" t="inlineStr">
        <is>
          <t>Banky W discusses the importance of leaving abusive relationships, referencing biblical teachings and challenging some pastors' views on divorce.</t>
        </is>
      </c>
      <c r="G23"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c r="H23" t="inlineStr">
        <is>
          <t>I believe there are nuances to this situation. For example, when it comes to domestic violence, I don't think anyone should stay in that situation, no matter what. I completely disagree with the idea that one should remain in an abusive relationship. Even in the Bible, when Jesus discussed why Moses allowed divorce, he said it was due to the hardness of people's hearts. There were times when men mistreated women, whether through abuse or neglect, and God said that if you treat your wife poorly, please let her go so someone else can treat her right. There are situations where we should unequivocally say, if you find yourself in this situation, please leave for your safety and the safety of your children. Pack your bags and go.</t>
        </is>
      </c>
      <c r="I23" t="inlineStr">
        <is>
          <t>English</t>
        </is>
      </c>
    </row>
    <row r="24">
      <c r="A24" t="inlineStr">
        <is>
          <t>BNK_023</t>
        </is>
      </c>
      <c r="B24" t="inlineStr">
        <is>
          <t>Banky Wellington</t>
        </is>
      </c>
      <c r="C24" t="inlineStr">
        <is>
          <t>YouTube (MENtality podcast)</t>
        </is>
      </c>
      <c r="D24" t="inlineStr">
        <is>
          <t>Podcast snippet</t>
        </is>
      </c>
      <c r="E24">
        <f>HYPERLINK("https://www.youtube.com/watch?v=mU5uAVhVEzA","https://www.youtube.com/watch?v=mU5uAVhVEzA")</f>
        <v/>
      </c>
      <c r="F24" t="inlineStr">
        <is>
          <t>Banky W discusses how marriage highlights personal flaws, emphasizing self-improvement as essential for successful relationships.</t>
        </is>
      </c>
      <c r="G24"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c r="H24" t="inlineStr">
        <is>
          <t>The most important work in marriage is the work you do on yourself. Absolutely. Your partner will highlight your flaws and trigger your insecurities. So, you must focus on self-improvement.</t>
        </is>
      </c>
      <c r="I24" t="inlineStr">
        <is>
          <t>English</t>
        </is>
      </c>
    </row>
    <row r="25">
      <c r="A25" t="inlineStr">
        <is>
          <t>BNK_024</t>
        </is>
      </c>
      <c r="B25" t="inlineStr">
        <is>
          <t>Banky Wellington</t>
        </is>
      </c>
      <c r="C25" t="inlineStr">
        <is>
          <t>YouTube (MENtality podcast)</t>
        </is>
      </c>
      <c r="D25" t="inlineStr">
        <is>
          <t>Podcast snippet</t>
        </is>
      </c>
      <c r="E25">
        <f>HYPERLINK("https://www.youtube.com/watch?v=mU5uAVhVEzA","https://www.youtube.com/watch?v=mU5uAVhVEzA")</f>
        <v/>
      </c>
      <c r="F25" t="inlineStr">
        <is>
          <t>Banky W discusses societal focus on weddings over marriage, emphasizing the need for spiritual, emotional, and mental readiness for lifelong commitment.</t>
        </is>
      </c>
      <c r="G25"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c r="H25" t="inlineStr">
        <is>
          <t>I also think we have an obsession with getting married rather than focusing on the marriage itself. Most romantic movies end at the proposal or wedding. In society, when a wedding happens, the focus is on the outfits, the bridal train, and the performance of the wedding day. We invest more energy in weddings than in the actual marriage. People rush into marriage without premarital counseling or discussing important issues. Now, with the stigma around divorce decreasing, people rush into marriage and then out of it just as quickly. Part of the problem is that we aren't prioritizing being spiritually, emotionally, and mentally prepared for that lifelong commitment.</t>
        </is>
      </c>
      <c r="I25" t="inlineStr">
        <is>
          <t>English</t>
        </is>
      </c>
    </row>
    <row r="26">
      <c r="A26" t="inlineStr">
        <is>
          <t>BNK_025</t>
        </is>
      </c>
      <c r="B26" t="inlineStr">
        <is>
          <t>Banky Wellington</t>
        </is>
      </c>
      <c r="C26" t="inlineStr">
        <is>
          <t>YouTube (MENtality podcast)</t>
        </is>
      </c>
      <c r="D26" t="inlineStr">
        <is>
          <t>Podcast snippet</t>
        </is>
      </c>
      <c r="E26">
        <f>HYPERLINK("https://www.youtube.com/watch?v=mU5uAVhVEzA","https://www.youtube.com/watch?v=mU5uAVhVEzA")</f>
        <v/>
      </c>
      <c r="F26" t="inlineStr">
        <is>
          <t>Banky W discusses the importance of self-reflection and mutual submission in marriage, referencing Ephesians 5 and his experience in marriage counseling.</t>
        </is>
      </c>
      <c r="G26"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c r="H26" t="inlineStr">
        <is>
          <t>The interesting thing about the conversation on submission is that it comes from Ephesians 5, where Paul addresses Christian households, explaining how husbands and wives should behave. People often skip the part where he says to submit to one another in reverence to Christ. The work starts with you. In my experience with marriage counseling, whenever I ask couples what can be improved, they rarely start with, 'Maybe I need to fix this.' Instead, they have a list of what the other person should do. The key to a successful marriage is the constant self-reflection and asking, 'How can I be a better person?' If both partners focus on self-improvement, the marriage will thrive. The breakdown occurs when pride takes over, leading to blame and demands instead of self-reflection.</t>
        </is>
      </c>
      <c r="I26" t="inlineStr">
        <is>
          <t>English</t>
        </is>
      </c>
    </row>
    <row r="27">
      <c r="A27" t="inlineStr">
        <is>
          <t>BNK_026</t>
        </is>
      </c>
      <c r="B27" t="inlineStr">
        <is>
          <t>Banky Wellington</t>
        </is>
      </c>
      <c r="C27" t="inlineStr">
        <is>
          <t>YouTube (MENtality podcast)</t>
        </is>
      </c>
      <c r="D27" t="inlineStr">
        <is>
          <t>Podcast snippet</t>
        </is>
      </c>
      <c r="E27">
        <f>HYPERLINK("https://www.youtube.com/watch?v=mU5uAVhVEzA","https://www.youtube.com/watch?v=mU5uAVhVEzA")</f>
        <v/>
      </c>
      <c r="F27" t="inlineStr">
        <is>
          <t>Banky W discusses evolving gender roles, highlighting increased male involvement in domestic responsibilities and parenting, contrasting past and present generational norms.</t>
        </is>
      </c>
      <c r="G27"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c r="H27" t="inlineStr">
        <is>
          <t>I think we are evolving, just as the world has evolved. Women now have their own seats at the table in leadership and business, and men are becoming more involved at home. In previous generations, fathers often saw their role as just providing financially, while mothers handled everything else. When my son started school, the school would communicate with me, addressing me as 'mommy.' I had to remind them to say 'mommy and daddy.' I've noticed that in our generation, men are participating more in household responsibilities, which is a positive change. It's not universal, especially in Nigeria where many have help at home, but in places where hiring help is expensive, responsibilities are shared more equally.</t>
        </is>
      </c>
      <c r="I27" t="inlineStr">
        <is>
          <t>English</t>
        </is>
      </c>
    </row>
    <row r="28">
      <c r="A28" t="inlineStr">
        <is>
          <t>BNK_027</t>
        </is>
      </c>
      <c r="B28" t="inlineStr">
        <is>
          <t>Banky Wellington</t>
        </is>
      </c>
      <c r="C28" t="inlineStr">
        <is>
          <t>YouTube (MENtality podcast)</t>
        </is>
      </c>
      <c r="D28" t="inlineStr">
        <is>
          <t>Podcast snippet</t>
        </is>
      </c>
      <c r="E28">
        <f>HYPERLINK("https://www.youtube.com/watch?v=mU5uAVhVEzA","https://www.youtube.com/watch?v=mU5uAVhVEzA")</f>
        <v/>
      </c>
      <c r="F28" t="inlineStr">
        <is>
          <t>Banky W discusses how masculinity and feminism influence individual choices in relationships, emphasizing personal decisions in household roles and name changes.</t>
        </is>
      </c>
      <c r="G28"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c r="H28" t="inlineStr">
        <is>
          <t>What if your job requires a lot of your time? There are situations where one partner may not be able to contribute equally due to work commitments. It's wise for couples to sit down and discuss what works for them individually. In our house, I cook because I enjoy it, while my partner doesn't. For someone else, that might be a deal breaker. If my wife doesn't cook for me, it could be a problem. But if it works for that couple, then that's great. Feminism should empower women to make choices that suit them, not dictate what they should do. For instance, if Temi decides to take her husband's name, that's her choice, and feminism should support her right to make that decision.</t>
        </is>
      </c>
      <c r="I28" t="inlineStr">
        <is>
          <t>English</t>
        </is>
      </c>
    </row>
    <row r="29">
      <c r="A29" t="inlineStr">
        <is>
          <t>BNK_028</t>
        </is>
      </c>
      <c r="B29" t="inlineStr">
        <is>
          <t>Banky Wellington</t>
        </is>
      </c>
      <c r="C29" t="inlineStr">
        <is>
          <t>YouTube (MENtality podcast)</t>
        </is>
      </c>
      <c r="D29" t="inlineStr">
        <is>
          <t>Podcast snippet</t>
        </is>
      </c>
      <c r="E29">
        <f>HYPERLINK("https://www.youtube.com/watch?v=mU5uAVhVEzA","https://www.youtube.com/watch?v=mU5uAVhVEzA")</f>
        <v/>
      </c>
      <c r="F29" t="inlineStr">
        <is>
          <t>Banky W discusses shared financial responsibilities and communication in relationships, emphasizing joint decisions and mutual respect in his marriage.</t>
        </is>
      </c>
      <c r="G29"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c r="H29" t="inlineStr">
        <is>
          <t>In our home, we treat money as joint. There's no 'my money' or 'her money.' So, that scenario doesn't arise because we make joint decisions about finances. Whether the money comes from my earnings or hers, it's our money. We communicate about everything, so there's no situation where one person says, 'I've already handled it, don't worry.' We know because we talk about it.</t>
        </is>
      </c>
      <c r="I29" t="inlineStr">
        <is>
          <t>English</t>
        </is>
      </c>
    </row>
    <row r="30">
      <c r="A30" t="inlineStr">
        <is>
          <t>BNK_029</t>
        </is>
      </c>
      <c r="B30" t="inlineStr">
        <is>
          <t>Banky Wellington</t>
        </is>
      </c>
      <c r="C30" t="inlineStr">
        <is>
          <t>YouTube (MENtality podcast)</t>
        </is>
      </c>
      <c r="D30" t="inlineStr">
        <is>
          <t>Podcast snippet</t>
        </is>
      </c>
      <c r="E30">
        <f>HYPERLINK("https://www.youtube.com/watch?v=mU5uAVhVEzA","https://www.youtube.com/watch?v=mU5uAVhVEzA")</f>
        <v/>
      </c>
      <c r="F30" t="inlineStr">
        <is>
          <t>Banky W discusses self-awareness in relationships, emphasizing understanding oneself to effectively support a partner, in the MENtality podcast.</t>
        </is>
      </c>
      <c r="G30" t="inlineStr">
        <is>
          <t>Although to throw more light on that from another angle, you are the more important person in your relationship. What does that mean? You can't be there for the other person without knowing what you are, who you are and how to. Right. Facts.</t>
        </is>
      </c>
      <c r="H30" t="inlineStr">
        <is>
          <t>Although to throw more light on that from another angle, you are the more important person in your relationship. What does that mean? You can't be there for the other person without knowing what you are, who you are and how to. Right. Facts.</t>
        </is>
      </c>
      <c r="I30" t="inlineStr">
        <is>
          <t>English</t>
        </is>
      </c>
    </row>
    <row r="31">
      <c r="A31" t="inlineStr">
        <is>
          <t>BNK_030</t>
        </is>
      </c>
      <c r="B31" t="inlineStr">
        <is>
          <t>Banky Wellington</t>
        </is>
      </c>
      <c r="C31" t="inlineStr">
        <is>
          <t>YouTube (MENtality podcast)</t>
        </is>
      </c>
      <c r="D31" t="inlineStr">
        <is>
          <t>Podcast snippet</t>
        </is>
      </c>
      <c r="E31">
        <f>HYPERLINK("https://www.youtube.com/watch?v=7uLzlPGsiVo","https://www.youtube.com/watch?v=7uLzlPGsiVo")</f>
        <v/>
      </c>
      <c r="F31" t="inlineStr">
        <is>
          <t>Banky W discusses societal pressures in Nigerian/African cultures regarding marriage and challenges the notion that marriage equates to success.</t>
        </is>
      </c>
      <c r="G31"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c r="H31" t="inlineStr">
        <is>
          <t>There's a lot of pressure in Nigerian or African societies regarding relationships. Young people are often told not to date during school, but once they graduate, the focus shifts to marriage and children. There's always a new societal expectation. Personally, I don't believe marriage is for everyone. In our parents' generation, marriage often signified success, which I think is a false notion. If marriage were the ultimate sign of success, then Jesus and the Apostle Paul would be considered failures since they were never married. While marriage is fulfilling for some, it's not an indicator of success or purpose. For those who desire marriage, it can be a key part of their happiness and fulfillment, but too many marriages end in divorce. The goal should be to enjoy marriage, not just endure it. For those who find joy in it, it can be the most fulfilling experience and a significant opportunity for personal growth.</t>
        </is>
      </c>
      <c r="I31" t="inlineStr">
        <is>
          <t>English</t>
        </is>
      </c>
    </row>
    <row r="32">
      <c r="A32" t="inlineStr">
        <is>
          <t>BNK_031</t>
        </is>
      </c>
      <c r="B32" t="inlineStr">
        <is>
          <t>Banky Wellington</t>
        </is>
      </c>
      <c r="C32" t="inlineStr">
        <is>
          <t>YouTube (MENtality podcast)</t>
        </is>
      </c>
      <c r="D32" t="inlineStr">
        <is>
          <t>Podcast snippet</t>
        </is>
      </c>
      <c r="E32">
        <f>HYPERLINK("https://www.youtube.com/watch?v=7uLzlPGsiVo","https://www.youtube.com/watch?v=7uLzlPGsiVo")</f>
        <v/>
      </c>
      <c r="F32" t="inlineStr">
        <is>
          <t>Banky W discusses navigating tension in marriage, balancing responsibilities, and understanding love languages during a busy period in his life.</t>
        </is>
      </c>
      <c r="G32"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c r="H32" t="inlineStr">
        <is>
          <t>I remember when you mentioned having a fight with your wife. I recall a time when the atmosphere in our home was tense. Everyone in a relationship knows that feeling when the air is thick, and communication is strained. I was going through a busy period, running for office and managing multiple responsibilities, while still trying to take care of household tasks. I realized that I was focusing on acts of service, which is my love language, but I wasn't giving my wife the quality time she needed. I had to cancel some meetings, go back to bed, and just hold her. That simple act ended the tension. Marriage teaches us to learn about our partner and ourselves, and to work on our character together.</t>
        </is>
      </c>
      <c r="I32" t="inlineStr">
        <is>
          <t>English</t>
        </is>
      </c>
    </row>
    <row r="33">
      <c r="A33" t="inlineStr">
        <is>
          <t>BNK_032</t>
        </is>
      </c>
      <c r="B33" t="inlineStr">
        <is>
          <t>Banky Wellington</t>
        </is>
      </c>
      <c r="C33" t="inlineStr">
        <is>
          <t>YouTube (MENtality podcast)</t>
        </is>
      </c>
      <c r="D33" t="inlineStr">
        <is>
          <t>Podcast snippet</t>
        </is>
      </c>
      <c r="E33">
        <f>HYPERLINK("https://www.youtube.com/watch?v=7uLzlPGsiVo","https://www.youtube.com/watch?v=7uLzlPGsiVo")</f>
        <v/>
      </c>
      <c r="F33" t="inlineStr">
        <is>
          <t>The snippet discusses Banky W.'s views on future family aspirations and priorities in the context of masculinity and relationships.</t>
        </is>
      </c>
      <c r="G33"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c r="H33" t="inlineStr">
        <is>
          <t>My question is loaded because, based on your achievements and age, do you see yourself always being in this position? Do you, like Ebuka, want a family someday? Or are you just thinking about having kids at some point, or is that not a priority for you? What’s your long-term outlook?</t>
        </is>
      </c>
      <c r="I33" t="inlineStr">
        <is>
          <t>English</t>
        </is>
      </c>
    </row>
    <row r="34">
      <c r="A34" t="inlineStr">
        <is>
          <t>BNK_033</t>
        </is>
      </c>
      <c r="B34" t="inlineStr">
        <is>
          <t>Banky Wellington</t>
        </is>
      </c>
      <c r="C34" t="inlineStr">
        <is>
          <t>YouTube (MENtality podcast)</t>
        </is>
      </c>
      <c r="D34" t="inlineStr">
        <is>
          <t>Podcast snippet</t>
        </is>
      </c>
      <c r="E34">
        <f>HYPERLINK("https://www.youtube.com/watch?v=7uLzlPGsiVo","https://www.youtube.com/watch?v=7uLzlPGsiVo")</f>
        <v/>
      </c>
      <c r="F34" t="inlineStr">
        <is>
          <t>Banky W discusses the importance of a healthy ego in maintaining self-worth and independence in relationships, touching on masculinity dynamics.</t>
        </is>
      </c>
      <c r="G34"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c r="H34"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c r="I34" t="inlineStr">
        <is>
          <t>English</t>
        </is>
      </c>
    </row>
    <row r="35">
      <c r="A35" t="inlineStr">
        <is>
          <t>BNK_034</t>
        </is>
      </c>
      <c r="B35" t="inlineStr">
        <is>
          <t>Banky Wellington</t>
        </is>
      </c>
      <c r="C35" t="inlineStr">
        <is>
          <t>YouTube (MENtality podcast)</t>
        </is>
      </c>
      <c r="D35" t="inlineStr">
        <is>
          <t>Podcast snippet</t>
        </is>
      </c>
      <c r="E35">
        <f>HYPERLINK("https://www.youtube.com/watch?v=7uLzlPGsiVo","https://www.youtube.com/watch?v=7uLzlPGsiVo")</f>
        <v/>
      </c>
      <c r="F35" t="inlineStr">
        <is>
          <t>Banky W discusses how masculinity and relationships are influenced by upbringing, spirituality, and personal experiences, avoiding toxic masculinity in his social circle.</t>
        </is>
      </c>
      <c r="G35"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H35" t="inlineStr">
        <is>
          <t>I think the situation is shifting and nuanced, depending on the circles you move in. Personally, I’m not surprised because we share similar values and connections. In our friend group, you won't find the extreme toxic masculinity you mentioned. However, I acknowledge that it exists in a larger segment of society. My perspective comes from my upbringing, spirituality, and experiences. Trauma can push people to extremes, leading to either toxic behavior or a desire to avoid repeating past mistakes. How we arrive at our beliefs and behaviors is a mix of nature, nurture, environment, spirituality, personality, and emotional intelligence.</t>
        </is>
      </c>
      <c r="I35" t="inlineStr">
        <is>
          <t>English</t>
        </is>
      </c>
    </row>
    <row r="36">
      <c r="A36" t="inlineStr">
        <is>
          <t>BNK_035</t>
        </is>
      </c>
      <c r="B36" t="inlineStr">
        <is>
          <t>Banky Wellington</t>
        </is>
      </c>
      <c r="C36" t="inlineStr">
        <is>
          <t>YouTube (MENtality podcast)</t>
        </is>
      </c>
      <c r="D36" t="inlineStr">
        <is>
          <t>Podcast snippet</t>
        </is>
      </c>
      <c r="E36">
        <f>HYPERLINK("https://www.youtube.com/watch?v=7uLzlPGsiVo","https://www.youtube.com/watch?v=7uLzlPGsiVo")</f>
        <v/>
      </c>
      <c r="F36" t="inlineStr">
        <is>
          <t>Banky W discusses the perceived priorities in relationships, ranking physical appearance, personality, faith, values, and income.</t>
        </is>
      </c>
      <c r="G36" t="inlineStr">
        <is>
          <t>I would guess that they would say physical appearance and personality would be like one and two. And then faith and values would be after that. And then income would be last. That's my guess of what they would say. I don't know. Do you agree?</t>
        </is>
      </c>
      <c r="H36" t="inlineStr">
        <is>
          <t>I would guess that they would say physical appearance and personality would be like one and two. And then faith and values would be after that. And then income would be last. That's my guess of what they would say. I don't know. Do you agree?</t>
        </is>
      </c>
      <c r="I36" t="inlineStr">
        <is>
          <t>English</t>
        </is>
      </c>
    </row>
    <row r="37">
      <c r="A37" t="inlineStr">
        <is>
          <t>BNK_036</t>
        </is>
      </c>
      <c r="B37" t="inlineStr">
        <is>
          <t>Banky Wellington</t>
        </is>
      </c>
      <c r="C37" t="inlineStr">
        <is>
          <t>YouTube (MENtality podcast)</t>
        </is>
      </c>
      <c r="D37" t="inlineStr">
        <is>
          <t>Podcast snippet</t>
        </is>
      </c>
      <c r="E37">
        <f>HYPERLINK("https://www.youtube.com/watch?v=7uLzlPGsiVo","https://www.youtube.com/watch?v=7uLzlPGsiVo")</f>
        <v/>
      </c>
      <c r="F37" t="inlineStr">
        <is>
          <t>Banky W discusses prioritizing factors beyond income when choosing a lifelong partner in the context of masculinity and relationships.</t>
        </is>
      </c>
      <c r="G37" t="inlineStr">
        <is>
          <t>I think income is probably last. I think you also have to differentiate between choosing a partner to spend the rest of your life with.</t>
        </is>
      </c>
      <c r="H37" t="inlineStr">
        <is>
          <t>I think income is probably last. I think you also have to differentiate between choosing a partner to spend the rest of your life with.</t>
        </is>
      </c>
      <c r="I37" t="inlineStr">
        <is>
          <t>English</t>
        </is>
      </c>
    </row>
    <row r="38">
      <c r="A38" t="inlineStr">
        <is>
          <t>BNK_037</t>
        </is>
      </c>
      <c r="B38" t="inlineStr">
        <is>
          <t>Banky Wellington</t>
        </is>
      </c>
      <c r="C38" t="inlineStr">
        <is>
          <t>YouTube (MENtality podcast)</t>
        </is>
      </c>
      <c r="D38" t="inlineStr">
        <is>
          <t>Podcast snippet</t>
        </is>
      </c>
      <c r="E38">
        <f>HYPERLINK("https://www.youtube.com/watch?v=7uLzlPGsiVo","https://www.youtube.com/watch?v=7uLzlPGsiVo")</f>
        <v/>
      </c>
      <c r="F38" t="inlineStr">
        <is>
          <t>Banky W discusses the fairness of long-term dating without commitment, considering perspectives of both men and women in relationships.</t>
        </is>
      </c>
      <c r="G38"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H38" t="inlineStr">
        <is>
          <t>Some people argue that if you date a woman for a long time and then decide not to marry her, it's unfair to her. What do you think about that, both as a man and from a woman's perspective?</t>
        </is>
      </c>
      <c r="I38" t="inlineStr">
        <is>
          <t>English</t>
        </is>
      </c>
    </row>
    <row r="39">
      <c r="A39" t="inlineStr">
        <is>
          <t>BNK_038</t>
        </is>
      </c>
      <c r="B39" t="inlineStr">
        <is>
          <t>Banky Wellington</t>
        </is>
      </c>
      <c r="C39" t="inlineStr">
        <is>
          <t>YouTube (MENtality podcast)</t>
        </is>
      </c>
      <c r="D39" t="inlineStr">
        <is>
          <t>Podcast snippet</t>
        </is>
      </c>
      <c r="E39">
        <f>HYPERLINK("https://www.youtube.com/watch?v=7uLzlPGsiVo","https://www.youtube.com/watch?v=7uLzlPGsiVo")</f>
        <v/>
      </c>
      <c r="F39" t="inlineStr">
        <is>
          <t>Banky W discusses the complexities of relationships and marriage, emphasizing self-awareness and the commitment required to resolve conflicts.</t>
        </is>
      </c>
      <c r="G39"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H39" t="inlineStr">
        <is>
          <t>I find it very interesting to hear your thoughts, especially since we've discussed many topics but never really touched on relationships and marriage. It's enlightening for me to learn this side of you. I respect and admire you for everything you've accomplished. You seem very self-aware, measured, and knowledgeable about these matters and yourself. I believe it's possible for two good people to end up in a bad marriage—not because one is terrible, but because they can't see eye to eye and work things out. Similarly, two good people who have been dating for a long time might not try to fix their relationship simply because they aren't married. Do you think that not being married gives them an excuse to avoid addressing their issues? Instead of asking, 'What do I need to do to improve? What does she need to do? How do we resolve this?' Marriage is a commitment that requires you to let go of the need to be right and take on the responsibility to work on the relationship. One of the positives of marriage is finding someone worth making that effort for. There will always be disagreements, but love is a choice to commit to someone for life and to find a way to make it work. If you don't find that person, that's okay, but without making that decision, you won't put yourself in a position to build something meaningful together. As you said, the goal is to build something, to create an empire, to grow together. But if you never take the risk to be vulnerable and commit, you'll always have an excuse to walk away. So, are you suggesting that marriage is the risk necessary to put yourself in that situation?</t>
        </is>
      </c>
      <c r="I39" t="inlineStr">
        <is>
          <t>English</t>
        </is>
      </c>
    </row>
    <row r="40">
      <c r="A40" t="inlineStr">
        <is>
          <t>BNK_039</t>
        </is>
      </c>
      <c r="B40" t="inlineStr">
        <is>
          <t>Banky Wellington</t>
        </is>
      </c>
      <c r="C40" t="inlineStr">
        <is>
          <t>YouTube (MENtality podcast)</t>
        </is>
      </c>
      <c r="D40" t="inlineStr">
        <is>
          <t>Podcast snippet</t>
        </is>
      </c>
      <c r="E40">
        <f>HYPERLINK("https://www.youtube.com/watch?v=7uLzlPGsiVo","https://www.youtube.com/watch?v=7uLzlPGsiVo")</f>
        <v/>
      </c>
      <c r="F40" t="inlineStr">
        <is>
          <t>Banky W discusses the importance of commitment in marriage, emphasizing teamwork over individual ego to overcome relationship challenges.</t>
        </is>
      </c>
      <c r="G40"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H40" t="inlineStr">
        <is>
          <t>Maybe if you had taken the risk to say, 'Hey, let's work on this,' I'm not suggesting you should ignore red flags, but if you've been with someone for a long time, you know who they are. Perhaps you find someone worth fighting for and building a future with, and then you work through the issues together. I can share countless stories of character flaws on both sides that you navigate in a committed marriage. The marriages that fail often do so due to a lack of commitment. Ironically, it's not finances or infidelity that cause the breakdown; infidelity is often a symptom of a deeper issue. It's about a lack of commitment and the willingness to say, 'We're all in this together.' There was a time when my wife and I had an issue, and my male ego was getting in the way. I was acting out, and she had to remind me that it wasn't about me versus her, but us versus the problem. I've heard someone say that you should treat the marriage as a separate entity, and for the sake of that entity, you need to find a way to resolve issues.</t>
        </is>
      </c>
      <c r="I40" t="inlineStr">
        <is>
          <t>English</t>
        </is>
      </c>
    </row>
    <row r="41">
      <c r="A41" t="inlineStr">
        <is>
          <t>BNK_040</t>
        </is>
      </c>
      <c r="B41" t="inlineStr">
        <is>
          <t>Banky Wellington</t>
        </is>
      </c>
      <c r="C41" t="inlineStr">
        <is>
          <t>YouTube (MENtality podcast)</t>
        </is>
      </c>
      <c r="D41" t="inlineStr">
        <is>
          <t>Podcast snippet</t>
        </is>
      </c>
      <c r="E41">
        <f>HYPERLINK("https://www.youtube.com/watch?v=7uLzlPGsiVo","https://www.youtube.com/watch?v=7uLzlPGsiVo")</f>
        <v/>
      </c>
      <c r="F41" t="inlineStr">
        <is>
          <t>Banky W discusses cultural influences on masculinity, emphasizing the importance of teaching boys domestic responsibilities and managing parental behavior around children.</t>
        </is>
      </c>
      <c r="G41" t="inlineStr">
        <is>
          <t>Before we move, if I may, there was a part where we skipped. We ignored, not ignored, we didn't touch the part about the gate man [gatekeeper] opening, or the security guy opening the doors. We forget that it is the, and Ibuka actually mentioned it, but indirectly, it's the power of emulation. Oh, so emulation. Okay. What these people know is culture. It's what they've seen their parents do, their uncles do. So their parents who, their mothers who unconsciously do not make sure that their sons are able to be part of what goes on in the kitchen, be part of domestic duties, take care of the sisters in a particular way because she assumes your dad is going to make you do that, or you might as well just do it as a man. But these things need to be taught to men as they are boys. And even if they're not taught directly, we need to also, as couples, as parents, manage what we say in front of the kids.</t>
        </is>
      </c>
      <c r="H41" t="inlineStr">
        <is>
          <t>Before we move on, I want to mention something we skipped over. We didn't discuss the role of the gatekeeper or security personnel opening doors. It's important to recognize the power of emulation. What these individuals know is shaped by culture and what they've observed their parents and uncles do. For instance, mothers who unconsciously fail to involve their sons in domestic duties or kitchen activities assume that their fathers will teach them that. But these lessons need to be taught to boys from a young age. Even if they aren't taught directly, as couples and parents, we need to be mindful of what we say in front of our children.</t>
        </is>
      </c>
      <c r="I41" t="inlineStr">
        <is>
          <t>English</t>
        </is>
      </c>
    </row>
    <row r="42">
      <c r="A42" t="inlineStr">
        <is>
          <t>BNK_041</t>
        </is>
      </c>
      <c r="B42" t="inlineStr">
        <is>
          <t>Banky Wellington</t>
        </is>
      </c>
      <c r="C42" t="inlineStr">
        <is>
          <t>YouTube (MENtality podcast)</t>
        </is>
      </c>
      <c r="D42" t="inlineStr">
        <is>
          <t>Podcast snippet</t>
        </is>
      </c>
      <c r="E42">
        <f>HYPERLINK("https://www.youtube.com/watch?v=7uLzlPGsiVo","https://www.youtube.com/watch?v=7uLzlPGsiVo")</f>
        <v/>
      </c>
      <c r="F42" t="inlineStr">
        <is>
          <t>Banky W discusses the individuality in marriage name choices, emphasizing respect for personal decisions and challenging societal expectations on masculinity and relationships.</t>
        </is>
      </c>
      <c r="G42" t="inlineStr">
        <is>
          <t>Again, exactly what you said. Everyone's different. Every girl is not the same girl. For example, my wife, she's an only child, right? So when we got married, she did take on my name, but she also kept her Tahini name, right? Because she's an only child and she wanted to keep that going, right? Again, it's different for everyone. I was perfectly fine with that. I didn't think, oh, because you can't have your name. It has to be Rima, Igodaro, no in-between or whatever. I was fine with that because for me, it's not going to change how I feel about her or how I feel about marriage or make me love her less. For Temi Otodola, it was her choice. A lot of people expect that oh, because she's from a successful family, rich family. Again, my sentiment is a lot of people probably think, oh, it was Mr. Easy. It's not from a rich family. He had to do this. He married into a rich family. Why all of a sudden is Temi Temi taking? And Mr. Easy, it's a successful man in his own right. Very successful. Very successful. And it was Temi's choice to do that and it's nobody's business. And not exactly, like you said, what feminism is. It's up to the woman to decide what she wants to do. What she wants to do. And it should be nobody's business. I know multiple friends of mine who their wives have never changed them. Yeah. And they have been married for decades and nobody is complaining. But these extremes in these conversations makes everything just extra amplified for no reason.</t>
        </is>
      </c>
      <c r="H42" t="inlineStr">
        <is>
          <t>Exactly what you said—everyone is different. Not every girl is the same. For example, my wife is an only child. When we got married, she took my last name but also kept her own because she wanted to maintain that connection. I was perfectly fine with that; it didn't change how I felt about her or our marriage. For Temi Otodola, it was her choice to take her husband's name, and that's nobody's business. Some people might think that because she's from a wealthy family, it was expected, but Mr. Eazi is successful in his own right. It's Temi's choice, and it should be respected. I know several friends whose wives have never changed their names, and they've been happily married for decades. These extreme conversations just amplify issues unnecessarily.</t>
        </is>
      </c>
      <c r="I42" t="inlineStr">
        <is>
          <t>English</t>
        </is>
      </c>
    </row>
    <row r="43">
      <c r="A43" t="inlineStr">
        <is>
          <t>BNK_042</t>
        </is>
      </c>
      <c r="B43" t="inlineStr">
        <is>
          <t>Banky Wellington</t>
        </is>
      </c>
      <c r="C43" t="inlineStr">
        <is>
          <t>YouTube (MENtality podcast)</t>
        </is>
      </c>
      <c r="D43" t="inlineStr">
        <is>
          <t>Podcast snippet</t>
        </is>
      </c>
      <c r="E43">
        <f>HYPERLINK("https://www.youtube.com/watch?v=-YGXo00-fHw","https://www.youtube.com/watch?v=-YGXo00-fHw")</f>
        <v/>
      </c>
      <c r="F43" t="inlineStr">
        <is>
          <t>Banky W discusses the 'bro code' in male friendships, emphasizing loyalty and communication when both friends are interested in the same woman.</t>
        </is>
      </c>
      <c r="G43" t="inlineStr">
        <is>
          <t>There's this thing, I'll go first this time. There's this thing called the bro code, right? Which maybe we can get into that a little bit if you want. But the bro code, I guess, depending on who you're talking to, can have different connotations and different meanings. But amongst us, it really speaks to, you know, kind of loyalty, respect, dignity, the way you treat each other and all of that. And I think that for the most part, in the pack that we're discussing, that was always the case. So Sule and I, for instance, had times, you know, many, many years ago, we were both very married and happy. But many years ago, when we were starting out and just kind of interacting and dating and all of that, when we came into a situation where we both had eyes on a certain person, we'd look at the girl and have a discussion and say, now you or now me? Or, you know, which one does it seem like the girl is more interested in? And we would just... So you don't both lose out. So, yeah, so we would just have those discussions. So you would let go? Oh, yeah. So even if you liked the girl and she said she liked... Yeah, but I mean, that was also a time when, you know, relationships were very fleeting and casual. So it was never really that deep. So our relationship with each other was much more important than any person we happened to meet at a party or anything like that. And so we were able to navigate those spaces by just being able to check in with each other and say, how do you feel about this? How do you feel about this? Do you like this girl? Do I like this girl? Who likes her more or who does she like more? And so we never had... And really, amongst any of my circle of close friends, we've never had an issue where there's, like, a woman matter and, you know, both guys like the same girl and they're fighting over it. That has never been an issue. Ever.</t>
        </is>
      </c>
      <c r="H43" t="inlineStr">
        <is>
          <t>There's something called the bro code, which can have different meanings depending on who you ask. Among us, it speaks to loyalty, respect, and how we treat each other. For instance, Sule and I were both happily married many years ago, but back when we were starting out and dating, if we both liked the same girl, we would discuss it. We would ask each other who the girl seemed more interested in, so neither of us would miss out. We would let go if necessary. Even if I liked the girl, if she showed more interest in Sule, I would step back. At that time, relationships were more casual, so our friendship was more important than any fleeting attraction. We navigated those situations by checking in with each other, ensuring we were on the same page. Among my close friends, we've never had issues where two guys liked the same girl and fought over her.</t>
        </is>
      </c>
      <c r="I43" t="inlineStr">
        <is>
          <t>English</t>
        </is>
      </c>
    </row>
    <row r="44">
      <c r="A44" t="inlineStr">
        <is>
          <t>BNK_043</t>
        </is>
      </c>
      <c r="B44" t="inlineStr">
        <is>
          <t>Banky Wellington</t>
        </is>
      </c>
      <c r="C44" t="inlineStr">
        <is>
          <t>YouTube (MENtality podcast)</t>
        </is>
      </c>
      <c r="D44" t="inlineStr">
        <is>
          <t>Podcast snippet</t>
        </is>
      </c>
      <c r="E44">
        <f>HYPERLINK("https://www.youtube.com/watch?v=-YGXo00-fHw","https://www.youtube.com/watch?v=-YGXo00-fHw")</f>
        <v/>
      </c>
      <c r="F44" t="inlineStr">
        <is>
          <t>Banky W discusses how men often have surface-level friendships, differentiating between acquaintances and deeper connections, and the natural evolution of friendships.</t>
        </is>
      </c>
      <c r="G44" t="inlineStr">
        <is>
          <t>Yeah, you know, that's an interesting question. I feel like you may be right in the sense that men don't get too deep too quickly. So there are some friends that we have and that I have that are just, it's very surface level. We see each other, we greet each other when we see, maybe it's like our football group. There are some guys you see every day, but that's it. You know, the craziest thing, if those two men who are not that close friends see each other in a social setting, they will hug like this. I didn't know you guys were that close. Okay. And sometimes they don't even know each other's names. And you're just like, bro. Ogabi. Chema. But then I think that there's a difference in a man's mind and we're able to compartmentalize like that. There's a difference between having a lot of acquaintances and people that you are cool with and then having a circle of people or a smaller group of people who you consider closer. And I don't think that it's necessarily such a problem that it doesn't get too deep too quickly. Because I think you kind of need time to just let people be who they are and for you to even really understand who you are and what you're comfortable with. And so you do get to those points where the conversation becomes deeper and then you start to realize that some friendships are for a season. And if that season comes to an end and you're not able to be as tight as you once were, are you still able to be respectful, be cordial, be cool but not necessarily as tight as you were? It's kind of like scaffolding, right? The scaffolding when you're doing the construction of a building. At certain points you can't it's so close together that you can't get between the scaffolding and the building. But it gets to a point in that building's construction that the scaffolding goes away. And you have to be able to say you know I'm happy when they're here. Let's look at the building. You know and now that you're not aligned like that anymore you're still okay with that. And even with the people that you are close with you will have seasons where you are tighter than others. That's been my experience. So we may not talk every day. We may not see every day but there's a certain space that you honor in your heart for certain people and there'll be seasons where you spend a lot more time together and there'll be seasons where you won't and where you just you try to learn to navigate that. Some guys don't deal with that as well.</t>
        </is>
      </c>
      <c r="H44" t="inlineStr">
        <is>
          <t>That's an interesting question. You might be right that men often don't get too deep too quickly. I have friends with whom my interactions are very surface-level. We greet each other, maybe in our football group, but that's about it. The funny thing is, if those two men see each other in a social setting, they might hug as if they're close friends, even if they don't know each other's names. There's a difference in how men compartmentalize relationships. They can have many acquaintances but also a smaller circle of close friends. I don't think it's a problem that things don't get deep quickly; it takes time to understand who you are and what you're comfortable with. Eventually, conversations can deepen, and you realize some friendships are seasonal. If a friendship fades, you should still be respectful and cordial, even if you're not as close as before. It's like scaffolding in construction; at times, it can be so close that you can't navigate between it and the building. But as the building progresses, the scaffolding is removed, and you have to be okay with that change.</t>
        </is>
      </c>
      <c r="I44" t="inlineStr">
        <is>
          <t>English</t>
        </is>
      </c>
    </row>
    <row r="45">
      <c r="A45" t="inlineStr">
        <is>
          <t>BNK_044</t>
        </is>
      </c>
      <c r="B45" t="inlineStr">
        <is>
          <t>Banky Wellington</t>
        </is>
      </c>
      <c r="C45" t="inlineStr">
        <is>
          <t>YouTube (MENtality podcast)</t>
        </is>
      </c>
      <c r="D45" t="inlineStr">
        <is>
          <t>Podcast snippet</t>
        </is>
      </c>
      <c r="E45">
        <f>HYPERLINK("https://www.youtube.com/watch?v=-YGXo00-fHw","https://www.youtube.com/watch?v=-YGXo00-fHw")</f>
        <v/>
      </c>
      <c r="F45" t="inlineStr">
        <is>
          <t>Banky W discusses the importance of male vulnerability and having close friends like Tunde and Shego for support during life's challenges.</t>
        </is>
      </c>
      <c r="G45" t="inlineStr">
        <is>
          <t>have I had a time where I felt that I needed to be vulnerable absolutely I think that it's not the easiest thing for a man to be vulnerable but a man always needs at least one or two or however many people that you can be that level of vulnerable with so for me for instance most people know that Tunde and I have been friends since we were before we were teenagers we've been through all kinds of things together and then by extension it then became Shego and the rest of the guys but I think invariably when I've had times in my life where I'm really dealing with life's challenges when I've had health challenges when I've had times when I was really broke when I've had times when I'm really going through it it helps to have those guys there that you can be like oh my they're red you understand so yeah I mean I think those times have come and I think every guy if you don't have one you need one because otherwise you just end up being this pent up pressurized that at some point will blow</t>
        </is>
      </c>
      <c r="H45" t="inlineStr">
        <is>
          <t>Have I ever felt the need to be vulnerable? Absolutely. It's not easy for a man to be vulnerable, but every man needs at least one or two people with whom he can be that open. For instance, most people know that Tunde and I have been friends since we were teenagers, and we've been through a lot together. Over time, it extended to include Shego and others. When I've faced life's challenges—health issues, financial struggles, or tough times—having those guys around to talk to has been invaluable. I think every guy needs that kind of support; otherwise, you end up feeling pent up and pressured, which can lead to an explosion of emotions.</t>
        </is>
      </c>
      <c r="I45" t="inlineStr">
        <is>
          <t>English</t>
        </is>
      </c>
    </row>
    <row r="46">
      <c r="A46" t="inlineStr">
        <is>
          <t>BNK_045</t>
        </is>
      </c>
      <c r="B46" t="inlineStr">
        <is>
          <t>Banky Wellington</t>
        </is>
      </c>
      <c r="C46" t="inlineStr">
        <is>
          <t>YouTube (MENtality podcast)</t>
        </is>
      </c>
      <c r="D46" t="inlineStr">
        <is>
          <t>Podcast snippet</t>
        </is>
      </c>
      <c r="E46">
        <f>HYPERLINK("https://www.youtube.com/watch?v=V_eHJfW87iA","https://www.youtube.com/watch?v=V_eHJfW87iA")</f>
        <v/>
      </c>
      <c r="F46" t="inlineStr">
        <is>
          <t>Banky W discusses intentional fatherhood, evolving parental roles, and his parents' challenging upbringing in Nigeria, highlighting cultural influences on masculinity.</t>
        </is>
      </c>
      <c r="G46" t="inlineStr">
        <is>
          <t>Um, well, I think what Hermes said is very important in the sense that fatherhood is not just biological, it's intentional. That's really what fatherhood is supposed to be. Um, now I think in fatherhood being intentional, many fathers work with the tools that they were given and as a product of the environment that they grew up in. And so while some people may not have had as great relationships, like, you know, from the results of the poll, for instance, there's some people who may not have had as positive relationships with their fathers as he may have had. But, um, there's also, a place where you kind of have to, as your, cause your father's, if, if nothing else, if you watch your parents become grandparents, you see that even they evolve and they change, they become softer, they become, you know, sweeter. Are you the same person? But they become grandparents. And I heard somewhere that when parents are blessed to become grandparents, it's like, they've been given a second chance to raise you again, just in a, in a smaller child's body. So, you know, so they, they just, they lighten up. And I think that's, what's been true in my sense, because both of my parents, God bless them. They grew, my dad was an orphan. My mom might as well have been an orphan as well. You know, they grew up in really harsh circumstances where, you know, my dad was, you know, jumping from home. In fact, he needed to perform to survive. So he needed to use his athletic ability to get through school because he needed a scholarship. And on the holidays, you're just kind of jumping from one uncle's house. When they kick you out of here, you go to another auntie's house. You know, you're suffering abuse here. You're being beaten here. You're being abused in what? So, and that was the circumstance that my parents grew up in. And so from that perspective, the tools that they have to then become well-adjusted parents are very limited. And I think we have to then now look at it through that lens and give them grace and say, Hey, you know, fathers are supposed to give love and discipline, right? Maybe for some of us, it was a bit more on the discipline side when you were a child, but it's not because there was no love. It's just that they had a limited way of understanding how to express it. So then as you now become a father yourself, for many of us, it's like, okay, if this is what I experienced, how do I make the adjustments? Cause you can either repeat the cycle or you can try and improve on it. Because if you think about what your parents, the circumstances that they grew up in, whether it was poverty or abuse or lack or whatever, they've improved on what they were given, right? What they were able to give you was an improvement on what they had. So then the responsibility now falls on us to now say, okay, how do I improve on this a bit better? Is there something I can do differently without falling too far on the side where it's now all love and no discipline where you're now raising weak children. You know, this idea of gentle parenting, I think is something that needs to be properly raised children who don't know what it is like to be corrected or to say, no, you can't do that, who have no boundaries or who are spoiled. So it's really, for me, it's about finding that balance. It's about looking at what your parents were able to do with grace, but seeing what they were able to work with to produce what they did and saying, how do I now come to the table and be better than that?</t>
        </is>
      </c>
      <c r="H46" t="inlineStr">
        <is>
          <t>I think what Hermes said is crucial: fatherhood is not just biological; it's intentional. Many fathers work with the tools they were given, shaped by their upbringing. Some may not have had positive relationships with their fathers, as indicated by the poll results. However, as you observe your parents becoming grandparents, you see them evolve and soften. They get a second chance to raise you again, just in a different context. My parents grew up in harsh conditions; my dad was an orphan, and my mom faced similar struggles. They had limited tools to become well-adjusted parents. We need to view their parenting through that lens and give them grace. Fathers are meant to provide love and discipline, but for some, it leaned more towards discipline due to their limited understanding of expressing love. As we become fathers ourselves, we must consider how to improve upon what we experienced, whether it was poverty, abuse, or lack. The responsibility falls on us to find a balance between love and discipline, ensuring we don't raise weak children.</t>
        </is>
      </c>
      <c r="I46" t="inlineStr">
        <is>
          <t>English</t>
        </is>
      </c>
    </row>
    <row r="47">
      <c r="A47" t="inlineStr">
        <is>
          <t>BNK_046</t>
        </is>
      </c>
      <c r="B47" t="inlineStr">
        <is>
          <t>Banky Wellington</t>
        </is>
      </c>
      <c r="C47" t="inlineStr">
        <is>
          <t>YouTube (MENtality podcast)</t>
        </is>
      </c>
      <c r="D47" t="inlineStr">
        <is>
          <t>Podcast snippet</t>
        </is>
      </c>
      <c r="E47">
        <f>HYPERLINK("https://www.youtube.com/watch?v=V_eHJfW87iA","https://www.youtube.com/watch?v=V_eHJfW87iA")</f>
        <v/>
      </c>
      <c r="F47" t="inlineStr">
        <is>
          <t>Banky W discusses evolving fatherhood roles, emphasizing the need for supportive policies like paternity leave to enable fathers' active participation.</t>
        </is>
      </c>
      <c r="G47" t="inlineStr">
        <is>
          <t>I think there's something that you said, um, there's a quote that I read once that said, hard times create strong men, strong men create soft times or, or easy times, easy times create weak men, weak men create hard times. So when you said that, I just remember that quote. The other thing that I wanted to say, I think that this idea of being a present father, the definition of it has to evolve and has to be nuanced because back in the day, the expectation was that the father is the provider, pay school fees, provide rents, do the big ticket things, and that's it. That was also at a time where economically women were dependent on their husbands for the most part. So, you know, that was a different time in the world. Now women are educated, they're empowered, they might be earning more than you, you know what I mean? So what, how do we, how do we get expectations and even policy to catch up with the reality of today? For instance, we want fathers to be present, right? We want them to help out in the home. We want fathers to help out with the kids, but then how many fathers are there? Most, most of us here don't have, you know, eight to five jobs where you're working Monday to Friday, but how many fathers who are in that situation get a real paternity leave where you've had a child and you're given 12 weeks, three months, four months, whatever the time is. We've paid. We've paid to be home to then share that load. But we say, no, no, no, we want you to be a present father, but we don't give you the environment and the policy to back that up. So then the mom ends up spending a bit more time in that space where the father still has to go to maybe, I think some places, maybe they'll give them two weeks or something. I don't actually know what the policy is now, but I think those are the things that those definitions and expectations have to evolve to account for the world that we're in now. If you want fathers to be more present in terms of being there in the home, then for a working father, he has to be given that space, that consideration to be able to do that. Otherwise we're just, it's all just chatter.</t>
        </is>
      </c>
      <c r="H47" t="inlineStr">
        <is>
          <t>You mentioned a quote that resonates: hard times create strong men, strong men create easy times, easy times create weak men, and weak men create hard times. This highlights the need for a nuanced definition of being a present father. In the past, the expectation was that fathers were providers—paying school fees and handling major expenses. That was a time when women were largely dependent on their husbands. Now, women are educated and empowered, often earning more than men. We need to adjust our expectations and policies to reflect today's reality. We want fathers to be present and involved at home, but how many fathers actually get adequate paternity leave? Most of us don't have traditional 9-to-5 jobs, yet we expect fathers to be present without providing the necessary support. If we want fathers to be more involved, we need to create an environment that allows for that.</t>
        </is>
      </c>
      <c r="I47" t="inlineStr">
        <is>
          <t>English</t>
        </is>
      </c>
    </row>
    <row r="48">
      <c r="A48" t="inlineStr">
        <is>
          <t>BNK_047</t>
        </is>
      </c>
      <c r="B48" t="inlineStr">
        <is>
          <t>Banky Wellington</t>
        </is>
      </c>
      <c r="C48" t="inlineStr">
        <is>
          <t>YouTube (MENtality podcast)</t>
        </is>
      </c>
      <c r="D48" t="inlineStr">
        <is>
          <t>Podcast snippet</t>
        </is>
      </c>
      <c r="E48">
        <f>HYPERLINK("https://www.youtube.com/watch?v=V_eHJfW87iA","https://www.youtube.com/watch?v=V_eHJfW87iA")</f>
        <v/>
      </c>
      <c r="F48" t="inlineStr">
        <is>
          <t>Banky W discusses the misinterpretation of religious texts in understanding masculinity and fatherhood, emphasizing the importance of context and deeper analysis.</t>
        </is>
      </c>
      <c r="G48" t="inlineStr">
        <is>
          <t>Okay. So if you follow that country, if you follow Bible in that way that is being quoted, you are going to miss a lot of truth because you have to pick things out. Don't pick one scripture. Yes. And just take it. Let's say a con man. But that's the excuse a lot of people use. Yes. So I can come and tell you that, that they say eyes have not seen. Yes. I've not had, not have you come into that prayer. Read the next chapter. Yeah. The next, the next, the next chapter, but God has revealed it to us. But nobody says that. Yeah. You get my point. So I want to pray God will do big things for us. We go to that one and not come down to what's the explanation of what he said that he said, but he has revealed these things to us.</t>
        </is>
      </c>
      <c r="H48" t="inlineStr">
        <is>
          <t>If you interpret the Bible in a rigid way, you might miss a lot of truths. You can't just pick one scripture and take it out of context. For example, people often quote, 'Eyes have not seen, nor ears heard,' but they forget to read the next part that explains how God reveals things to us. We need to pray for God to do great things, but we also need to understand the full context of what is being said.</t>
        </is>
      </c>
      <c r="I48" t="inlineStr">
        <is>
          <t>English</t>
        </is>
      </c>
    </row>
    <row r="49">
      <c r="A49" t="inlineStr">
        <is>
          <t>BNK_048</t>
        </is>
      </c>
      <c r="B49" t="inlineStr">
        <is>
          <t>Banky Wellington</t>
        </is>
      </c>
      <c r="C49" t="inlineStr">
        <is>
          <t>YouTube (MENtality podcast)</t>
        </is>
      </c>
      <c r="D49" t="inlineStr">
        <is>
          <t>Podcast snippet</t>
        </is>
      </c>
      <c r="E49">
        <f>HYPERLINK("https://www.youtube.com/watch?v=V_eHJfW87iA","https://www.youtube.com/watch?v=V_eHJfW87iA")</f>
        <v/>
      </c>
      <c r="F49" t="inlineStr">
        <is>
          <t>The text discusses the theological principle of using multiple biblical references to establish doctrine, emphasizing balanced discipline over extreme measures.</t>
        </is>
      </c>
      <c r="G49" t="inlineStr">
        <is>
          <t>So there's what you're saying is spot on because there's, um, a principle in theology that is throughout the Bible that it says out of the mouth of two or three witnesses, let every word be established. What that is saying in essence is if you're going to build a doctrine, build it out of two or three, not just don't take one verse and just hold onto that because the same Bible that says, spare the rod as well, the child also says, do not provoke your children to anger. We don't talk about that, but it's all in this Bible. So you need, you need to take the totality. So yes, discipline is important, but abuse is when you take discipline to such a far extreme that you are now beating children out of anger, frustration and frustration. And there's no balance to what, to the discipline you're trying to bring to the table.</t>
        </is>
      </c>
      <c r="H49" t="inlineStr">
        <is>
          <t>What you're saying is spot on. There's a principle in theology that states, 'Out of the mouth of two or three witnesses, let every word be established.' This means that if you're building a doctrine, you should base it on multiple verses, not just one. The same Bible that says, 'Spare the rod, spoil the child,' also says, 'Do not provoke your children to anger.' We often overlook that. It's important to take the totality of scripture into account. Discipline is necessary, but abuse occurs when discipline is taken to an extreme, leading to anger and frustration without balance.</t>
        </is>
      </c>
      <c r="I49" t="inlineStr">
        <is>
          <t>English</t>
        </is>
      </c>
    </row>
    <row r="50">
      <c r="A50" t="inlineStr">
        <is>
          <t>BNK_049</t>
        </is>
      </c>
      <c r="B50" t="inlineStr">
        <is>
          <t>Banky Wellington</t>
        </is>
      </c>
      <c r="C50" t="inlineStr">
        <is>
          <t>YouTube (MENtality podcast)</t>
        </is>
      </c>
      <c r="D50" t="inlineStr">
        <is>
          <t>Podcast snippet</t>
        </is>
      </c>
      <c r="E50">
        <f>HYPERLINK("https://www.youtube.com/watch?v=V_eHJfW87iA","https://www.youtube.com/watch?v=V_eHJfW87iA")</f>
        <v/>
      </c>
      <c r="F50" t="inlineStr">
        <is>
          <t>The text discusses the potential negative impact of polygamous relationships on children and family dynamics, emphasizing the importance of considering others' well-being.</t>
        </is>
      </c>
      <c r="G50" t="inlineStr">
        <is>
          <t>I think the danger for me is that you say, find what works for you. And if it works for you, keep it going fine. But I think the danger with that is that it, it can end up being a very selfish outlook on life that you are now not taking into account that what works for you may adversely affect your children or people around you. Because I've, I've known quite a few people who've grown up in, uh, flexible situations, whether it's polygamy or whatever the case may be. And I am yet to interact with somebody. This is just me. I'm not saying this is how it is for everybody in the world, but I am yet to interact with somebody who is from that kind of situation, like a polygamous home where there are multiple women and all kinds of children. Some of that has happened in my, in my parents' generation where there is no dysfunction at all, where the kids, there's not some level of animosity, dysfunction. And I think when, as a man, you take the stance to say, this is who I am. This is what works for me. You will find women who will go along with it. But invariably, if you gave those women a choice, more often than not, they may choose to say, I wish this was just me and you, but because this is where I found somebody that cares for me or loves me or whatever, I put up with it. And then because you are the man in the position to make that call, you've subjected your entire, entire lineage to dysfunction or unfortunate circumstances that they didn't really want to sign up for. But because you made that call in a, in a, and I'm not, I'm not attacking you.</t>
        </is>
      </c>
      <c r="H50" t="inlineStr">
        <is>
          <t>I think the danger for me is that you say, find what works for you. And if it works for you, keep it going fine. But I think the danger with that is that it, it can end up being a very selfish outlook on life that you are now not taking into account that what works for you may adversely affect your children or people around you. Because I've, I've known quite a few people who've grown up in, uh, flexible situations, whether it's polygamy or whatever the case may be. And I am yet to interact with somebody. This is just me. I'm not saying this is how it is for everybody in the world, but I am yet to interact with somebody who is from that kind of situation, like a polygamous home where there are multiple women and all kinds of children. Some of that has happened in my, in my parents' generation where there is no dysfunction at all, where the kids, there's not some level of animosity, dysfunction. And I think when, as a man, you take the stance to say, this is who I am. This is what works for me. You will find women who will go along with it. But invariably, if you gave those women a choice, more often than not, they may choose to say, I wish this was just me and you, but because this is where I found somebody that cares for me or loves me or whatever, I put up with it. And then because you are the man in the position to make that call, you've subjected your entire, entire lineage to dysfunction or unfortunate circumstances that they didn't really want to sign up for. But because you made that call in a, in a, and I'm not, I'm not attacking you.</t>
        </is>
      </c>
      <c r="I50" t="inlineStr">
        <is>
          <t>English</t>
        </is>
      </c>
    </row>
    <row r="51">
      <c r="A51" t="inlineStr">
        <is>
          <t>BNK_050</t>
        </is>
      </c>
      <c r="B51" t="inlineStr">
        <is>
          <t>Banky Wellington</t>
        </is>
      </c>
      <c r="C51" t="inlineStr">
        <is>
          <t>YouTube (MENtality podcast)</t>
        </is>
      </c>
      <c r="D51" t="inlineStr">
        <is>
          <t>Podcast snippet</t>
        </is>
      </c>
      <c r="E51">
        <f>HYPERLINK("https://www.youtube.com/watch?v=V_eHJfW87iA","https://www.youtube.com/watch?v=V_eHJfW87iA")</f>
        <v/>
      </c>
      <c r="F51" t="inlineStr">
        <is>
          <t>The text discusses the concept of love as a choice and commitment, emphasizing that true love involves consistently choosing and committing to a partner.</t>
        </is>
      </c>
      <c r="G51" t="inlineStr">
        <is>
          <t>I think there's a... Sorry, I know you don't want to move. But I do want to say this, that I think that there's a thought process about or there's an aspect of love that requires choice and commitment to choice. So love is not just a feeling. Love is not just, oh, I love the way I feel about her, the way she feels about me. Love is also saying, I choose you and I will continue to choose you every day. Irrespective of the fact that this may be at play or this or I may... Because you will always meet somebody else that is more beautiful, more handsome, richer, sexier, whatever the case may be. But love requires the commitment really. And we're on another conversation and we're talking about how the number one... Statistically speaking, the number one factor in divorces and split marriages is a lack of commitment or a loss of commitment, where people are not as committed to the love and to that relationship, where they just feel like they've thrown in the towel, they're not communicating, they're not working on issues, they're just like... And so I think as you consider your options, as you grow and as you evolve and all of that, just kind of weigh this idea of committing and choosing, making a choice and committing to the choice. Because that is where real love lies, is in the ability to stay committed to this and not always... Because we all know this, lust doesn't satisfy. There will always be more. There will always be another woman or multiple women or porn. That's another episode for another day. There will always be something else if you lean into that. But then if you lean into choice and commitment, then you discover what I think what love really could be.</t>
        </is>
      </c>
      <c r="H51" t="inlineStr">
        <is>
          <t>I want to add that love requires choice and commitment. It's not just a feeling; it's about choosing someone and continuing to choose them every day. You will always encounter someone more attractive or successful, but true love lies in commitment. Statistically, the leading cause of divorce is a lack of commitment. People stop communicating and working on their issues, feeling like they've given up. As you consider your options and grow, remember the importance of making a choice and committing to it. Real love is found in the ability to stay committed, rather than chasing fleeting desires.</t>
        </is>
      </c>
      <c r="I51" t="inlineStr">
        <is>
          <t>English</t>
        </is>
      </c>
    </row>
    <row r="52">
      <c r="A52" t="inlineStr">
        <is>
          <t>BNK_051</t>
        </is>
      </c>
      <c r="B52" t="inlineStr">
        <is>
          <t>Banky Wellington</t>
        </is>
      </c>
      <c r="C52" t="inlineStr">
        <is>
          <t>YouTube (MENtality podcast)</t>
        </is>
      </c>
      <c r="D52" t="inlineStr">
        <is>
          <t>Podcast snippet</t>
        </is>
      </c>
      <c r="E52">
        <f>HYPERLINK("https://www.youtube.com/watch?v=V_eHJfW87iA","https://www.youtube.com/watch?v=V_eHJfW87iA")</f>
        <v/>
      </c>
      <c r="F52" t="inlineStr">
        <is>
          <t>The text discusses the biblical term 'help meet,' highlighting its original Hebrew meaning and its use to describe both God and a supportive role.</t>
        </is>
      </c>
      <c r="G52" t="inlineStr">
        <is>
          <t>Can I just say something about this? Sorry, I didn't mean to interrupt you. But I think it's important, like the more that we learn, the more you reach, the more you teach, the more you share, right? So do you know that the help meets in the original translation, like in the original Hebrew, the original language that the scriptures are made Hebrew that it was written in, that same word is used to describe God. So when the Bible talks about God, you know, being there for man or whatever the case may be, it's used in that context. So it's not just about saying, help him with what he's doing. It's also the role that God plays with us. So she's a kind of Godfather. She's a, she's a, she's a.</t>
        </is>
      </c>
      <c r="H52" t="inlineStr">
        <is>
          <t>I want to mention something important. The term 'help meet' in the original Hebrew scripture is used to describe God. When the Bible talks about God supporting man, it uses the same word. This means that the role of a partner is not just to assist with tasks but also to embody the supportive role that God plays in our lives.</t>
        </is>
      </c>
      <c r="I52" t="inlineStr">
        <is>
          <t>English</t>
        </is>
      </c>
    </row>
    <row r="53">
      <c r="A53" t="inlineStr">
        <is>
          <t>BNK_052</t>
        </is>
      </c>
      <c r="B53" t="inlineStr">
        <is>
          <t>Banky Wellington</t>
        </is>
      </c>
      <c r="C53" t="inlineStr">
        <is>
          <t>YouTube (MENtality podcast)</t>
        </is>
      </c>
      <c r="D53" t="inlineStr">
        <is>
          <t>Podcast snippet</t>
        </is>
      </c>
      <c r="E53">
        <f>HYPERLINK("https://www.youtube.com/watch?v=V_eHJfW87iA","https://www.youtube.com/watch?v=V_eHJfW87iA")</f>
        <v/>
      </c>
      <c r="F53" t="inlineStr">
        <is>
          <t>The text discusses the role of the Holy Spirit as a helper and challenges traditional views on gender roles in provision.</t>
        </is>
      </c>
      <c r="G53" t="inlineStr">
        <is>
          <t>So how the Bible talks about the Holy Spirit being your helper. Your comforts. So scripture actually uses it in that way, because I think the problem sometimes with us is that we, and I'm not, I'm not absolving fathers in any way of saying, like, we are not supposed to provide, I'm not saying that, but I am saying that their role is not just about saying, what's the husband doing? Let me help him. It's also about, you know, what they're able to do and what they're able to bring to the table. It's not, you know, I think for me, you know, I think it was talking based on provision.</t>
        </is>
      </c>
      <c r="H53" t="inlineStr">
        <is>
          <t>The Bible describes the Holy Spirit as a helper and comforter. This language emphasizes that the role of a partner is not solely about supporting the husband but also about what they bring to the relationship. While I acknowledge that fathers have a responsibility to provide, their role extends beyond just provision.</t>
        </is>
      </c>
      <c r="I53" t="inlineStr">
        <is>
          <t>English</t>
        </is>
      </c>
    </row>
    <row r="54">
      <c r="A54" t="inlineStr">
        <is>
          <t>BNK_053</t>
        </is>
      </c>
      <c r="B54" t="inlineStr">
        <is>
          <t>Banky Wellington</t>
        </is>
      </c>
      <c r="C54" t="inlineStr">
        <is>
          <t>YouTube (MENtality podcast)</t>
        </is>
      </c>
      <c r="D54" t="inlineStr">
        <is>
          <t>Podcast snippet</t>
        </is>
      </c>
      <c r="E54">
        <f>HYPERLINK("https://www.youtube.com/watch?v=V_eHJfW87iA","https://www.youtube.com/watch?v=V_eHJfW87iA")</f>
        <v/>
      </c>
      <c r="F54" t="inlineStr">
        <is>
          <t>The speaker recently took a teaching role at Union College, requiring frequent travel to the U.S., impacting his family involvement.</t>
        </is>
      </c>
      <c r="G54" t="inlineStr">
        <is>
          <t>So until I want to say maybe about a month ago, I would say it's pretty equal. But I just recently took a role. As you know, I'm teaching at Union College. So now I'm back and forth to the States a lot more. So in the last month. And it's hurting my soul. Because I'm like, I'm the dad that wants to, as much as is possible, I want to be there. So I'm cooking, I'm grocery shopping, I'm hanging out, I'm playing. Even when I have to go to work, as many as I come home, I'm taking off my tie and rolling around on the floor. So it's altered now because I took this role where I'm kind of required to be in the States from time to time. I'm teaching in Union College. I'm helping out the church with their international strategy and the college. But so I think in this season specifically, it's more your madam than me.</t>
        </is>
      </c>
      <c r="H54" t="inlineStr">
        <is>
          <t>Until about a month ago, I felt like my involvement was pretty equal. However, I recently took a teaching position at Union College, which requires me to travel to the States more frequently. This change has been tough for me because I want to be present as much as possible. I enjoy cooking, grocery shopping, and spending time with my family. Even when I have to work, I try to come home and engage with my kids. But now, with this new role, my wife is taking on more responsibilities.</t>
        </is>
      </c>
      <c r="I54" t="inlineStr">
        <is>
          <t>English</t>
        </is>
      </c>
    </row>
    <row r="55">
      <c r="A55" t="inlineStr">
        <is>
          <t>BNK_054</t>
        </is>
      </c>
      <c r="B55" t="inlineStr">
        <is>
          <t>Banky Wellington</t>
        </is>
      </c>
      <c r="C55" t="inlineStr">
        <is>
          <t>YouTube (MENtality podcast)</t>
        </is>
      </c>
      <c r="D55" t="inlineStr">
        <is>
          <t>Podcast snippet</t>
        </is>
      </c>
      <c r="E55">
        <f>HYPERLINK("https://www.youtube.com/watch?v=V_eHJfW87iA","https://www.youtube.com/watch?v=V_eHJfW87iA")</f>
        <v/>
      </c>
      <c r="F55" t="inlineStr">
        <is>
          <t>A father explains to his sons why he is often absent, showing them his work environment to help them understand his job's demands.</t>
        </is>
      </c>
      <c r="G55" t="inlineStr">
        <is>
          <t>My wife brought my sons on set, right? Just to, because I want them to know that if I'm not there, this is where I'm doing something to, to earn an income or this, I'm working, you know? And, and it's not like Papa just doesn't want to be home. Um, and I think that it's harder when they're younger because they don't really understand, you know, what the dynamics of that are. But my prayers are that they understand that. And I think that's the, that's the, you know, what the dynamics of that are. But my prayers are that as they get older, they understand that if I'm not there, it's because I had to leave.</t>
        </is>
      </c>
      <c r="H55" t="inlineStr">
        <is>
          <t>My wife brought my sons on set, right? Just to, because I want them to know that if I'm not there, this is where I'm doing something to, to earn an income or this, I'm working, you know? And, and it's not like Papa just doesn't want to be home. Um, and I think that it's harder when they're younger because they don't really understand, you know, what the dynamics of that are. But my prayers are that they understand that. And I think that's the, that's the, you know, what the dynamics of that are. But my prayers are that as they get older, they understand that if I'm not there, it's because I had to leave.</t>
        </is>
      </c>
      <c r="I55" t="inlineStr">
        <is>
          <t>English</t>
        </is>
      </c>
    </row>
    <row r="56">
      <c r="A56" t="inlineStr">
        <is>
          <t>BNK_055</t>
        </is>
      </c>
      <c r="B56" t="inlineStr">
        <is>
          <t>Banky Wellington</t>
        </is>
      </c>
      <c r="C56" t="inlineStr">
        <is>
          <t>YouTube (MENtality podcast)</t>
        </is>
      </c>
      <c r="D56" t="inlineStr">
        <is>
          <t>Podcast snippet</t>
        </is>
      </c>
      <c r="E56">
        <f>HYPERLINK("https://www.youtube.com/watch?v=V_eHJfW87iA","https://www.youtube.com/watch?v=V_eHJfW87iA")</f>
        <v/>
      </c>
      <c r="F56" t="inlineStr">
        <is>
          <t>A Nigerian man describes feeling lonely and missing his family after initially enjoying the freedom of having the house to himself.</t>
        </is>
      </c>
      <c r="G56" t="inlineStr">
        <is>
          <t>My wife and kids traveled for the summer for five weeks. When they were going, I was like, ah, oh yeah. Let me wear my boxers free in this house. Go upstairs, come down. Honestly, I don't think it was up to four days. Yeah. The house was the echo. Yeah. It's just empty. You know, it was very hard.</t>
        </is>
      </c>
      <c r="H56" t="inlineStr">
        <is>
          <t>My wife and kids traveled for the summer for five weeks. When they were going, I was like, ah, oh yeah. Let me wear my boxers free in this house. Go upstairs, come down. Honestly, I don't think it was up to four days. Yeah. The house was the echo. Yeah. It's just empty. You know, it was very hard.</t>
        </is>
      </c>
      <c r="I56" t="inlineStr">
        <is>
          <t>English</t>
        </is>
      </c>
    </row>
    <row r="57">
      <c r="A57" t="inlineStr">
        <is>
          <t>BNK_056</t>
        </is>
      </c>
      <c r="B57" t="inlineStr">
        <is>
          <t>Banky Wellington</t>
        </is>
      </c>
      <c r="C57" t="inlineStr">
        <is>
          <t>YouTube (MENtality podcast)</t>
        </is>
      </c>
      <c r="D57" t="inlineStr">
        <is>
          <t>Podcast snippet</t>
        </is>
      </c>
      <c r="E57">
        <f>HYPERLINK("https://www.youtube.com/watch?v=V_eHJfW87iA","https://www.youtube.com/watch?v=V_eHJfW87iA")</f>
        <v/>
      </c>
      <c r="F57" t="inlineStr">
        <is>
          <t>A Nigerian man worked abroad to support his family, but the long separation led to divorce as they grew apart.</t>
        </is>
      </c>
      <c r="G57" t="inlineStr">
        <is>
          <t>So there's a guy that I know who, and there are actually many people that I know who, and these situations where maybe the father is working in one country and the family is elsewhere. And I think that for those of us who have seasons where that becomes necessary, we just have to be, like you said, intentional, right? There's a guy that I know who, you know, his wife wanted to go off to nursing school in the States. So, you know, the kids went with her and he literally everything, you know, earning in Naira and paying for university. And so, so literally he spent easily over it. I want to say, I don't remember the exact amount of time, but maybe 10 to 15 years, just working tooth and nail. And just shipping the money abroad. By the end of that period, the wife asked for a divorce. When they were done? When they were done. And the wife said, we don't even really have a marriage anymore. Because they grew apart. They grew apart. She's like, well, you know, like, don't tell me that again. It's not your portion in Jesus' name. It's not our portion in Jesus' name. It's not our portion in Jesus' name. It's not. I bring up that story to say that we still have to be intentional about being present, not just for the kids, but also for the wives, for the partner. You still have to have a relationship. And I know you do. So I'm not, I'm not talking about.</t>
        </is>
      </c>
      <c r="H57" t="inlineStr">
        <is>
          <t>There’s a guy I know, and actually many people I know, who have situations where the father works in one country while the family is elsewhere. For those of us who go through such seasons, we need to be intentional, as you said. There’s a guy I know whose wife wanted to go to nursing school in the States. So, the kids went with her, and he was earning in Naira and paying for her university. He spent easily over 10 to 15 years working hard and sending money abroad. By the end of that time, his wife asked for a divorce. She said they didn’t really have a marriage anymore because they had grown apart. She told him not to say that again, and she said, 'It’s not our portion in Jesus' name.' I share this story to emphasize that we need to be intentional about being present—not just for the kids, but also for our partners. We need to maintain our relationships.</t>
        </is>
      </c>
      <c r="I57" t="inlineStr">
        <is>
          <t>English</t>
        </is>
      </c>
    </row>
    <row r="58">
      <c r="A58" t="inlineStr">
        <is>
          <t>BNK_057</t>
        </is>
      </c>
      <c r="B58" t="inlineStr">
        <is>
          <t>Banky Wellington</t>
        </is>
      </c>
      <c r="C58" t="inlineStr">
        <is>
          <t>YouTube (MENtality podcast)</t>
        </is>
      </c>
      <c r="D58" t="inlineStr">
        <is>
          <t>Podcast snippet</t>
        </is>
      </c>
      <c r="E58">
        <f>HYPERLINK("https://www.youtube.com/watch?v=V_eHJfW87iA","https://www.youtube.com/watch?v=V_eHJfW87iA")</f>
        <v/>
      </c>
      <c r="F58" t="inlineStr">
        <is>
          <t>The text discusses the importance of establishing relationship rules, like always staying together in the same city, to strengthen marital bonds.</t>
        </is>
      </c>
      <c r="G58" t="inlineStr">
        <is>
          <t>But I think, so I learned on this. So I think that with couples, right, with a husband and a wife, you have to decide what your rules of engagement are ahead of time. So for instance, my wife and I decided way before our marriage even started that if we're in the same city, we sleep in the same house. So if we decide we're sleeping in a hotel, we're both in the hotel. If we're coming to the house, we're both in the house. But there will never be a scenario where we're in the same city and I'm here or you are here. Because pretty early in marriage, you know, in that first year, when you are trying to work out the kinks, you now fight. She will now say she's packing her bag and going to her sister's house. Go into your sister's house and do what? You're going to want to say hello. When you finish, please come back to the house that we have. She's my sister. She's my in-law. Let's go. So I think in these kinds of scenarios, you have to kind of decide what those rules of engagement are. How often are we going to see? When are we going to see? You know, just so that you are protecting against those things. Those gaps that can just silently. You know, they don't say the day. Small, small, you just don't say. Have you found your trainer? It's a great thing.</t>
        </is>
      </c>
      <c r="H58" t="inlineStr">
        <is>
          <t>I think I’ve learned something about couples. With a husband and wife, you need to decide on your rules of engagement ahead of time. For example, my wife and I agreed long before we got married that if we’re in the same city, we sleep in the same house. If we choose to stay in a hotel, we both stay there. If we come home, we both come home. There will never be a situation where we’re in the same city and one of us is somewhere else. Early in our marriage, during that first year when we were trying to figure things out, we had a fight. She said she was going to her sister’s house. I asked, 'What are you going to do there? You’ll just want to come back home anyway.' So, in these situations, you need to establish those rules of engagement. How often will we see each other? When will we see each other? This helps protect against those silent gaps that can develop.</t>
        </is>
      </c>
      <c r="I58" t="inlineStr">
        <is>
          <t>English</t>
        </is>
      </c>
    </row>
    <row r="59">
      <c r="A59" t="inlineStr">
        <is>
          <t>BNK_058</t>
        </is>
      </c>
      <c r="B59" t="inlineStr">
        <is>
          <t>Banky Wellington</t>
        </is>
      </c>
      <c r="C59" t="inlineStr">
        <is>
          <t>YouTube (MENtality podcast)</t>
        </is>
      </c>
      <c r="D59" t="inlineStr">
        <is>
          <t>Podcast snippet</t>
        </is>
      </c>
      <c r="E59">
        <f>HYPERLINK("https://www.youtube.com/watch?v=V_eHJfW87iA","https://www.youtube.com/watch?v=V_eHJfW87iA")</f>
        <v/>
      </c>
      <c r="F59" t="inlineStr">
        <is>
          <t>The text discusses how repeated statements can seem true, highlighting societal pressures on men and the importance of shared responsibilities in relationships, with 'babes' [term of endearment] and 'I beg' [please] used for emphasis.</t>
        </is>
      </c>
      <c r="G59" t="inlineStr">
        <is>
          <t>There are certain things that sound intelligent, but they're not true. And why they sound intelligent is because they've been said a lot of times over the years. Like in music, we say, if you want to emphasize it, repeat it. If you want to... Emphasize it, repeat it. So if you say something long enough... Yeah, it becomes... It becomes truth. And it gets stuck in people's head. You see, that thing of, a man supposed to have, has made, has even put more pressure and more load. Yeah, the real load. On a man's shoulder. Like, I had one guy say, no, I do everything, I know how many women talk to me in the house. I heard him say it. And he didn't say that thing from just himself. He got it from somewhere. But he said it in confidence, thinking that all that is his truth. But it's not. I will do my part. And if I need help, if I need help, my wife needs to pay for stuff. If we need to pay for stuff and she has the money, I will say, babes [term of endearment], please [I beg]. Do this one. Man, actually, I have my money, but I still have to do this one. You get? It's not an ego thing. It's a... It's a thing of pride. Be involved.</t>
        </is>
      </c>
      <c r="H59" t="inlineStr">
        <is>
          <t>Some things sound intelligent but aren’t true. They sound intelligent because they’ve been repeated over the years. In music, we say if you want to emphasize something, repeat it. If you say something long enough, it becomes truth and sticks in people’s minds. The idea that a man is supposed to have everything has put more pressure on men. I heard a guy say, 'I do everything; I know how many women talk to me at home.' He didn’t come up with that on his own; he got it from somewhere. He said it confidently, thinking it was his truth, but it’s not. I will do my part, and if I need help, I’ll ask my wife to contribute. If we need to pay for something and she has the money, I’ll say, 'Babe, please help with this.' It’s not about ego; it’s about being involved.</t>
        </is>
      </c>
      <c r="I59" t="inlineStr">
        <is>
          <t>English</t>
        </is>
      </c>
    </row>
    <row r="60">
      <c r="A60" t="inlineStr">
        <is>
          <t>BNK_059</t>
        </is>
      </c>
      <c r="B60" t="inlineStr">
        <is>
          <t>Banky Wellington</t>
        </is>
      </c>
      <c r="C60" t="inlineStr">
        <is>
          <t>YouTube (MENtality podcast)</t>
        </is>
      </c>
      <c r="D60" t="inlineStr">
        <is>
          <t>Podcast snippet</t>
        </is>
      </c>
      <c r="E60">
        <f>HYPERLINK("https://www.youtube.com/watch?v=V_eHJfW87iA","https://www.youtube.com/watch?v=V_eHJfW87iA")</f>
        <v/>
      </c>
      <c r="F60" t="inlineStr">
        <is>
          <t>The text discusses evolving fatherhood roles, emphasizing the importance of being present, alongside traditional roles of protector and provider, through sacrifice and selflessness.</t>
        </is>
      </c>
      <c r="G60" t="inlineStr">
        <is>
          <t>Okay, I'll go first. He said he's 50-50 with his wife, so he should teach us. I'll go first, because I think that the roles of fathers have evolved over time. And, you know, there was a time in society when the expectation on a father was just protector, provider, and you lived being present to the mom. So it's three Ps now, protector, provider, presence. And being present. Yeah, I think that's the one thing being present. I think that it's important now that as fathers, we take this into account and within reason. So you may have a job that you have to be in a different place, but you have to be creative and find innovative ways to still be present in your children's lives and in your wife's life. Otherwise, you are potentially leading yourself into a world of trouble where you are so far removed that you no longer belong. So I think it will look differently in each home, but at least let the mindset be open to the idea of being present. And then you and your wife will work out what that means in the kingdom of your house and what that looks like. So for me, it might look completely different than from you. But what we can say is the common thing here, aside from provider, protector, and being present, is sacrifice, selflessness, and service.</t>
        </is>
      </c>
      <c r="H60" t="inlineStr">
        <is>
          <t>Okay, I’ll go first. He said he’s 50-50 with his wife, so he should teach us. I think the roles of fathers have evolved over time. There was a time when the expectation for a father was just to be a protector and provider, and to be present for the mother. Now, it’s about being a protector, provider, and being present. I think being present is crucial. As fathers, we need to take this into account. You might have a job that requires you to be in a different place, but you have to find creative ways to still be involved in your children’s lives and your wife’s life. Otherwise, you risk becoming so distant that you no longer belong. It will look different in each home, but the mindset should be open to being present. You and your wife will figure out what that means in your household. The common themes here, aside from being a provider, protector, and present, are sacrifice, selflessness, and service.</t>
        </is>
      </c>
      <c r="I60" t="inlineStr">
        <is>
          <t>English</t>
        </is>
      </c>
    </row>
    <row r="61">
      <c r="A61" t="inlineStr">
        <is>
          <t>BNK_060</t>
        </is>
      </c>
      <c r="B61" t="inlineStr">
        <is>
          <t>Banky Wellington</t>
        </is>
      </c>
      <c r="C61" t="inlineStr">
        <is>
          <t>YouTube (MENtality podcast)</t>
        </is>
      </c>
      <c r="D61" t="inlineStr">
        <is>
          <t>Podcast snippet</t>
        </is>
      </c>
      <c r="E61">
        <f>HYPERLINK("https://www.youtube.com/watch?v=V_eHJfW87iA","https://www.youtube.com/watch?v=V_eHJfW87iA")</f>
        <v/>
      </c>
      <c r="F61" t="inlineStr">
        <is>
          <t>The text discusses the sacrifices and evolving roles in fatherhood, emphasizing shared responsibilities and breaking traditional gender roles within the family.</t>
        </is>
      </c>
      <c r="G61" t="inlineStr">
        <is>
          <t>You said, there's a quote you said, that is my favorite thing that we've said here today. That the robes of a passionate person is stained with the blood of sacrifice. The robes of a passionate person is stained with the blood of sacrifice. I think that's such a powerful... Clucket. Yeah. I think that's such a powerful quote and it's one that is going to stick with me because I think that explains what true fatherhood is. It's the ability to say, I've been gifted with this opportunity to steward this family and whatever sacrifice is required of me, then I'm going to do that. For some, it may mean being away. For some, it may mean putting your pride aside and, man, go and change the diaper and carry the baby or get in the kitchen or do the dishes or take the trash out. Like, there's no... A woman does this and me, I do that. No, no, no. I think we need to evolve past that. So that's where I would drop it.</t>
        </is>
      </c>
      <c r="H61" t="inlineStr">
        <is>
          <t>You mentioned a quote that I love: 'The robes of a passionate person are stained with the blood of sacrifice.' I think that’s a powerful quote that will stick with me because it captures the essence of true fatherhood. It’s about recognizing that you’ve been given the opportunity to care for your family, and whatever sacrifices are required, you should be willing to make them. For some, that might mean being away. For others, it might mean setting aside pride to change a diaper, help in the kitchen, do the dishes, or take out the trash. There shouldn’t be a division of labor based on gender. We need to move past that.</t>
        </is>
      </c>
      <c r="I61" t="inlineStr">
        <is>
          <t>English</t>
        </is>
      </c>
    </row>
    <row r="62">
      <c r="A62" t="inlineStr">
        <is>
          <t>BNK_061</t>
        </is>
      </c>
      <c r="B62" t="inlineStr">
        <is>
          <t>Banky Wellington</t>
        </is>
      </c>
      <c r="C62" t="inlineStr">
        <is>
          <t>YouTube (MENtality podcast)</t>
        </is>
      </c>
      <c r="D62" t="inlineStr">
        <is>
          <t>Podcast snippet</t>
        </is>
      </c>
      <c r="E62">
        <f>HYPERLINK("https://www.youtube.com/watch?v=V_eHJfW87iA","https://www.youtube.com/watch?v=V_eHJfW87iA")</f>
        <v/>
      </c>
      <c r="F62" t="inlineStr">
        <is>
          <t>The text discusses the importance of listening to children, contrasting it with the lack of listening experienced by previous generations.</t>
        </is>
      </c>
      <c r="G62" t="inlineStr">
        <is>
          <t>And that actually leads me to the point I was going to make, just to wrap this up, about what I think being present is, or should look like for a lot of people, different, especially from our parents, is listening to our children. I don't think we got listened to...</t>
        </is>
      </c>
      <c r="H62" t="inlineStr">
        <is>
          <t>And that actually leads me to the point I was going to make, just to wrap this up, about what I think being present is, or should look like for a lot of people, different, especially from our parents, is listening to our children. I don't think we got listened to...</t>
        </is>
      </c>
      <c r="I62" t="inlineStr">
        <is>
          <t>English</t>
        </is>
      </c>
    </row>
    <row r="63">
      <c r="A63" t="inlineStr">
        <is>
          <t>BNK_062</t>
        </is>
      </c>
      <c r="B63" t="inlineStr">
        <is>
          <t>Banky Wellington</t>
        </is>
      </c>
      <c r="C63" t="inlineStr">
        <is>
          <t>YouTube (MENtality podcast)</t>
        </is>
      </c>
      <c r="D63" t="inlineStr">
        <is>
          <t>Podcast snippet</t>
        </is>
      </c>
      <c r="E63">
        <f>HYPERLINK("https://www.youtube.com/watch?v=V_eHJfW87iA","https://www.youtube.com/watch?v=V_eHJfW87iA")</f>
        <v/>
      </c>
      <c r="F63" t="inlineStr">
        <is>
          <t>Reflects on evolving father-son relationships in Nigeria, highlighting emotional expression changes over generations, especially post-retirement.</t>
        </is>
      </c>
      <c r="G63" t="inlineStr">
        <is>
          <t>Yeah, this is so old school. This is poetry. I don't think we got listened to a lot. Our fathers did, like you said, the provision, the providing. At what age did you hug your dad? Isn't it a funny thing now? My dad became that guy after he had retired from banking for 35 years. I did that, man. When I see my dad now, he hugs me, he kisses my forehead. At what age did you tell your dad, I love you for the first time? After I got married.</t>
        </is>
      </c>
      <c r="H63" t="inlineStr">
        <is>
          <t>This is so old school; it’s like poetry. I don’t think we were listened to much. Our fathers did, as you said, the providing. At what age did you hug your dad? Isn’t it funny? My dad only became that affectionate after he retired from banking after 35 years. Now, when I see him, he hugs me and kisses my forehead. At what age did you tell your dad you loved him for the first time? I did it after I got married.</t>
        </is>
      </c>
      <c r="I63" t="inlineStr">
        <is>
          <t>English</t>
        </is>
      </c>
    </row>
    <row r="64">
      <c r="A64" t="inlineStr">
        <is>
          <t>BNK_063</t>
        </is>
      </c>
      <c r="B64" t="inlineStr">
        <is>
          <t>Banky Wellington</t>
        </is>
      </c>
      <c r="C64" t="inlineStr">
        <is>
          <t>YouTube (MENtality podcast)</t>
        </is>
      </c>
      <c r="D64" t="inlineStr">
        <is>
          <t>Podcast snippet</t>
        </is>
      </c>
      <c r="E64">
        <f>HYPERLINK("https://www.youtube.com/watch?v=V_eHJfW87iA","https://www.youtube.com/watch?v=V_eHJfW87iA")</f>
        <v/>
      </c>
      <c r="F64" t="inlineStr">
        <is>
          <t>In Nigerian culture, expressing love verbally, especially among older generations, is often replaced with sarcasm or non-verbal expressions.</t>
        </is>
      </c>
      <c r="G64" t="inlineStr">
        <is>
          <t>Well in my thirties. We didn't say I love you at all. I didn't hear my dad say that. He replied with a very sarcastic, I love you too.</t>
        </is>
      </c>
      <c r="H64" t="inlineStr">
        <is>
          <t>Well in my thirties. We didn't say I love you at all. I didn't hear my dad say that. He replied with a very sarcastic, I love you too.</t>
        </is>
      </c>
      <c r="I64" t="inlineStr">
        <is>
          <t>English</t>
        </is>
      </c>
    </row>
    <row r="65">
      <c r="A65" t="inlineStr">
        <is>
          <t>BNK_064</t>
        </is>
      </c>
      <c r="B65" t="inlineStr">
        <is>
          <t>Banky Wellington</t>
        </is>
      </c>
      <c r="C65" t="inlineStr">
        <is>
          <t>YouTube (MENtality podcast)</t>
        </is>
      </c>
      <c r="D65" t="inlineStr">
        <is>
          <t>Podcast snippet</t>
        </is>
      </c>
      <c r="E65">
        <f>HYPERLINK("https://www.youtube.com/watch?v=V_eHJfW87iA","https://www.youtube.com/watch?v=V_eHJfW87iA")</f>
        <v/>
      </c>
      <c r="F65" t="inlineStr">
        <is>
          <t>The text emphasizes the importance of actively listening to children's needs and feelings to foster comfort and presence in parent-child relationships.</t>
        </is>
      </c>
      <c r="G65" t="inlineStr">
        <is>
          <t>So it's just that listening. And when I say listening, it's their needs. Them even feeling hurt. It might be something you don't care about. But just, okay, yeah. Are you serious? That's what happened. It's that level of comfort. I don't know that your child needs to be your friend, but I think you need to listen to your child. And I think that's what being present means to me.</t>
        </is>
      </c>
      <c r="H65" t="inlineStr">
        <is>
          <t>It’s about listening. And when I say listening, I mean understanding their needs and acknowledging their feelings, even if it’s something you don’t care about. Just being there and saying, 'Are you serious? That happened?' It’s about creating a level of comfort. I don’t think your child needs to be your friend, but you need to listen to them. That’s what being present means to me.</t>
        </is>
      </c>
      <c r="I65" t="inlineStr">
        <is>
          <t>English</t>
        </is>
      </c>
    </row>
    <row r="66">
      <c r="A66" t="inlineStr">
        <is>
          <t>BNK_065</t>
        </is>
      </c>
      <c r="B66" t="inlineStr">
        <is>
          <t>Banky Wellington</t>
        </is>
      </c>
      <c r="C66" t="inlineStr">
        <is>
          <t>YouTube (MENtality podcast)</t>
        </is>
      </c>
      <c r="D66" t="inlineStr">
        <is>
          <t>Podcast snippet</t>
        </is>
      </c>
      <c r="E66">
        <f>HYPERLINK("https://www.youtube.com/watch?v=f6WW9g5hqLI","https://www.youtube.com/watch?v=f6WW9g5hqLI")</f>
        <v/>
      </c>
      <c r="F66" t="inlineStr">
        <is>
          <t>The text discusses the influence of money and privilege on ego and masculinity, particularly in the context of societal protection and liberation.</t>
        </is>
      </c>
      <c r="G66" t="inlineStr">
        <is>
          <t>because many people think dressing up I'm coming let's not go to what many people think I want to ask you a direct question because I'm asking about what money does to your ego for you you say money does nothing to your ego but for you masculinity is about protection and what you are doing to liberate protecting your society you might be talking from a place of privilege whether you like it or not let me finish with the kind of surname you have you don't need money to be able to speak up on certain things whereas the guy you feel needs to speak up can't because he's not a kuti so how does that guy now fight for liberation what is that person's idea of protection exactly</t>
        </is>
      </c>
      <c r="H66" t="inlineStr">
        <is>
          <t>Many people think dressing up is everything. I want to ask you a direct question about what money does to your ego. For you, money does nothing to your ego, but for you, masculinity is about protection and what you do to liberate and protect your society. You might be speaking from a place of privilege, whether you like it or not. Let me finish. With the kind of surname you have, you don’t need money to speak up on certain issues, while the guy who feels he needs to speak up can’t because he’s not a Kuti. So how does that guy fight for liberation? What does protection mean for that person?</t>
        </is>
      </c>
      <c r="I66" t="inlineStr">
        <is>
          <t>Mixed (Pidgin + English)</t>
        </is>
      </c>
    </row>
    <row r="67">
      <c r="A67" t="inlineStr">
        <is>
          <t>BNK_066</t>
        </is>
      </c>
      <c r="B67" t="inlineStr">
        <is>
          <t>Banky Wellington</t>
        </is>
      </c>
      <c r="C67" t="inlineStr">
        <is>
          <t>YouTube (MENtality podcast)</t>
        </is>
      </c>
      <c r="D67" t="inlineStr">
        <is>
          <t>Podcast snippet</t>
        </is>
      </c>
      <c r="E67">
        <f>HYPERLINK("https://www.youtube.com/watch?v=XbFCPgdK8QQ","https://www.youtube.com/watch?v=XbFCPgdK8QQ")</f>
        <v/>
      </c>
      <c r="F67" t="inlineStr">
        <is>
          <t>The text discusses the fear of rejection in romantic pursuits, particularly for men, and how social media provides a safer space for such interactions.</t>
        </is>
      </c>
      <c r="G67" t="inlineStr">
        <is>
          <t>Yeah. I mean, I do have a few things to add to that though. So Epochal mentioned one thing about rejection or fear, actually. So I term that rejection, particularly because as men, we already have that barrier that we're meant to break when you want to toast someone, right? You kind of already want to even play the conversation out before it starts. And that's only because you want to be rejected the most subtle way. So you want to pick up with no witnesses. You want to know what, okay, what are the scenarios here? Is she going to tell me no directly? How do I counter that? Is she going to tell me no, maybe after like two, three statements, you want to play the whole thing out right now, because the fear of rejection has now been blurred out with social media, you can literally, someone can say they hate you and it's just words. You literally just, it's just words. Right. And so now that it's just words, you want to be in that safe space. That's where the insulation of being in that safe bubble comes in. And then you want to then only toast someone with the safety of, you can't see me. I can't see you. Your words don't really hurt me. Even if you tell me no, there's like 10 other people I've been texting. So I'm kind of hoping for one of them too. And while that's happening, I don't have that rejection because you know when you get rejected.</t>
        </is>
      </c>
      <c r="H67" t="inlineStr">
        <is>
          <t>I have a few things to add to that. Epochal mentioned rejection or fear. I call it rejection because, as men, we already have that barrier to break when we want to approach someone. We often play out the conversation in our heads before it even starts because we want to avoid rejection in the most subtle way. We want to know the scenarios: Is she going to say no directly? How do I counter that? With social media, rejection has become less impactful. Someone can say they hate you, but it’s just words. Now that it’s just words, we want to be in a safe space. That’s where the insulation of being in a safe bubble comes in. We want to approach someone knowing that if they say no, it doesn’t hurt as much because we have other options.</t>
        </is>
      </c>
      <c r="I67" t="inlineStr">
        <is>
          <t>English</t>
        </is>
      </c>
    </row>
    <row r="68">
      <c r="A68" t="inlineStr">
        <is>
          <t>BNK_067</t>
        </is>
      </c>
      <c r="B68" t="inlineStr">
        <is>
          <t>Banky Wellington</t>
        </is>
      </c>
      <c r="C68" t="inlineStr">
        <is>
          <t>YouTube (MENtality podcast)</t>
        </is>
      </c>
      <c r="D68" t="inlineStr">
        <is>
          <t>Podcast snippet</t>
        </is>
      </c>
      <c r="E68">
        <f>HYPERLINK("https://www.youtube.com/watch?v=XbFCPgdK8QQ","https://www.youtube.com/watch?v=XbFCPgdK8QQ")</f>
        <v/>
      </c>
      <c r="F68" t="inlineStr">
        <is>
          <t>A parent emphasizes early, open discussions about sex and relationships with their child, contrasting with their own late, awkward parental talk.</t>
        </is>
      </c>
      <c r="G68" t="inlineStr">
        <is>
          <t>You have to start early and you have to break the walls early. So with my son, I realized I'm going to have to talk to this boy about all the nitty-gritty, the details, the birds and the bees, girls, sex and sexuality and all of that. And I didn't want to have to wait like they waited with us. You know, it was very brass tacks. You know, I still remember the conversation with my mom, which I count myself lucky because most of my guys never got that conversation from their parents. There we go. I still remember the conversation with my mom. I said, listen, you are going to wait to have sex because you know, you're going to have as much of this as you need. Let me tell you, you're going to, once you get married, you will have sex everywhere. Kitchen, living room. I was like, mommy, mommy, mommy, mommy, easy, easy. She was like, no, no, listen to me. Be patient. You know what I'm saying? She hit it. She wanted to get it.</t>
        </is>
      </c>
      <c r="H68" t="inlineStr">
        <is>
          <t>You have to start early and break down barriers. With my son, I realized I need to talk to him about everything—the details, the birds and the bees, girls, sex, and sexuality. I didn’t want to wait like they did with us. I remember my mom’s conversation with me, and I consider myself lucky because most of my friends never had that talk. I still remember her saying, 'You’re going to wait to have sex because once you get married, you’ll have it everywhere—kitchen, living room.' I was like, 'Mommy, easy!' But she insisted, 'No, listen to me. Be patient.' She wanted to make sure I understood.</t>
        </is>
      </c>
      <c r="I68" t="inlineStr">
        <is>
          <t>English</t>
        </is>
      </c>
    </row>
    <row r="69">
      <c r="A69" t="inlineStr">
        <is>
          <t>BNK_068</t>
        </is>
      </c>
      <c r="B69" t="inlineStr">
        <is>
          <t>Banky Wellington</t>
        </is>
      </c>
      <c r="C69" t="inlineStr">
        <is>
          <t>YouTube (MENtality podcast)</t>
        </is>
      </c>
      <c r="D69" t="inlineStr">
        <is>
          <t>Podcast snippet</t>
        </is>
      </c>
      <c r="E69">
        <f>HYPERLINK("https://www.youtube.com/watch?v=XbFCPgdK8QQ","https://www.youtube.com/watch?v=XbFCPgdK8QQ")</f>
        <v/>
      </c>
      <c r="F69" t="inlineStr">
        <is>
          <t>A speaker discusses sharing personal experiences with younger men, emphasizing the importance of timing and discretion in imparting wisdom.</t>
        </is>
      </c>
      <c r="G69" t="inlineStr">
        <is>
          <t>I do. I do, especially with younger men. My son, I have to measure the scripture in the Bible that says you shouldn't wake up passion before it's time. So there are some things I can't tell him because he's too young to hear them. But then with younger men, I'm able to say, bro, let me tell you a story. And tell them this isn't somebody strange. This isn't somebody far away. This is me, right? This is what happened to me.</t>
        </is>
      </c>
      <c r="H69" t="inlineStr">
        <is>
          <t>I do, especially with younger men. I have to be mindful of the scripture that says you shouldn’t awaken passion before its time. There are some things I can’t tell my son because he’s too young. But with younger men, I can say, 'Bro, let me tell you a story.' I share my experiences with them so they know this isn’t just some distant tale.</t>
        </is>
      </c>
      <c r="I69" t="inlineStr">
        <is>
          <t>English</t>
        </is>
      </c>
    </row>
    <row r="70">
      <c r="A70" t="inlineStr">
        <is>
          <t>BNK_069</t>
        </is>
      </c>
      <c r="B70" t="inlineStr">
        <is>
          <t>Banky Wellington</t>
        </is>
      </c>
      <c r="C70" t="inlineStr">
        <is>
          <t>YouTube (MENtality podcast)</t>
        </is>
      </c>
      <c r="D70" t="inlineStr">
        <is>
          <t>Podcast snippet</t>
        </is>
      </c>
      <c r="E70">
        <f>HYPERLINK("https://www.youtube.com/watch?v=XbFCPgdK8QQ","https://www.youtube.com/watch?v=XbFCPgdK8QQ")</f>
        <v/>
      </c>
      <c r="F70" t="inlineStr">
        <is>
          <t>A public figure expresses concern about potential online harassment affecting their young child as they grow older and become aware of public scrutiny.</t>
        </is>
      </c>
      <c r="G70" t="inlineStr">
        <is>
          <t>That's what I was doing on the show. But let me land in a place of honesty and fear. The thing that worries me the most is that, you know, my son is four. So he's not online, you know, he's not there. But what happens when he's 10 or 12 or 13 and something happens online to me or my wife, because we happen to be in the public space and he goes to school and people start, you know, attacking him or asking him or...</t>
        </is>
      </c>
      <c r="H70" t="inlineStr">
        <is>
          <t>That’s what I was doing on the show. But let me be honest and express my fears. What worries me the most is that my son is four now, so he’s not online. But what happens when he’s 10, 12, or 13, and something happens online involving me or my wife because we’re in the public eye? What if he goes to school and kids start attacking him or asking him questions?</t>
        </is>
      </c>
      <c r="I70" t="inlineStr">
        <is>
          <t>English</t>
        </is>
      </c>
    </row>
    <row r="71">
      <c r="A71" t="inlineStr">
        <is>
          <t>BNK_070</t>
        </is>
      </c>
      <c r="B71" t="inlineStr">
        <is>
          <t>Banky Wellington</t>
        </is>
      </c>
      <c r="C71" t="inlineStr">
        <is>
          <t>YouTube (MENtality podcast)</t>
        </is>
      </c>
      <c r="D71" t="inlineStr">
        <is>
          <t>Podcast snippet</t>
        </is>
      </c>
      <c r="E71">
        <f>HYPERLINK("https://www.youtube.com/watch?v=XbFCPgdK8QQ","https://www.youtube.com/watch?v=XbFCPgdK8QQ")</f>
        <v/>
      </c>
      <c r="F71" t="inlineStr">
        <is>
          <t>The text discusses the impact of social media on mental health, highlighting suicide as a leading cause of death among men under 50 in the UK.</t>
        </is>
      </c>
      <c r="G71" t="inlineStr">
        <is>
          <t>The crazy thing is I was, I was reading, cause doing a bit of research before we came on today. And I read a stat that said, suicide is the greatest killer of men under 50 in the UK. Suicide. So we've created this world where, like you say, we're waking up every day. You're feeding on other people. Is there any, you ever cross your mind why you call your timeline a feed? You're literally feeding your soul on the highlights that other people choose to show you. And so you have different expectations of beauty or success or what you should have achieved by a certain time. And you're comparing your life with men all over the world. You have not even seen the grind that they went through. You haven't seen this. Or the reality of what is actually happening versus what they choose to show you. And so anxiety and suicide and depression and mental health challenges are at an all time high because we're so focused on this thing and what this thing tells us we should be.</t>
        </is>
      </c>
      <c r="H71" t="inlineStr">
        <is>
          <t>I was doing some research before we came on today, and I read a statistic that said suicide is the leading cause of death for men under 50 in the UK. We’ve created a world where, as you said, we wake up every day feeding off others. Have you ever thought about why you call your timeline a 'feed'? You’re literally feeding your soul on the highlights that others choose to show you. This creates unrealistic expectations of beauty, success, and what you should have achieved by a certain age. You compare your life to men all over the world without seeing the struggles they went through. Anxiety, suicide, depression, and mental health challenges are at an all-time high because we’re so focused on what social media tells us we should be.</t>
        </is>
      </c>
      <c r="I71" t="inlineStr">
        <is>
          <t>English</t>
        </is>
      </c>
    </row>
    <row r="72">
      <c r="A72" t="inlineStr">
        <is>
          <t>BNK_071</t>
        </is>
      </c>
      <c r="B72" t="inlineStr">
        <is>
          <t>Banky Wellington</t>
        </is>
      </c>
      <c r="C72" t="inlineStr">
        <is>
          <t>YouTube (MENtality podcast)</t>
        </is>
      </c>
      <c r="D72" t="inlineStr">
        <is>
          <t>Podcast snippet</t>
        </is>
      </c>
      <c r="E72">
        <f>HYPERLINK("https://www.youtube.com/watch?v=XbFCPgdK8QQ","https://www.youtube.com/watch?v=XbFCPgdK8QQ")</f>
        <v/>
      </c>
      <c r="F72" t="inlineStr">
        <is>
          <t>The text discusses evolving parenting challenges, questioning if modern upbringing leads to 'weaker' men, and redefines strength in a changing world.</t>
        </is>
      </c>
      <c r="G72" t="inlineStr">
        <is>
          <t>Yeah, I think, I don't know if we're raising weaker men. I honestly think a lot of us are in a very hard place. Parenting has evolved the quickest in the shortest time, I feel like in the last 15 years for a lot of us. And we're trying to figure out what this means and what being a hard man in this world looks like. For us, being hard needed human interaction. You needed to build character while making a lot of these connections. That is not really possible anymore. Because whether we like it or not, how many of our children take walks? You live in an area where they probably can't take walks. But a lot of people are not going to let their child out of their gates. But we played on the streets. So those things are not really happening. And it's not because you don't want them to play on the streets. But you just know that it's not the same. And it's not just Nigeria, I repeat again. Your first world countries, people don't let their kids out anymore. So that is already different, right? So a lot of us are trying to figure out what it looks like raising a child today. Are we raising weaker men? I don't know, because it's the world we met. It's not the world they are going to meet as adults. So what does strength look like in their time? For us, strength was more maybe the flash. How many shows have you hosted? How many degrees did you have? Are you married? For them, success or strength might be how you treat the next person beside you. I don't know. We're still going to find out what strength for them means. But I think ultimately, the one thing that is across all of us as strength is whatever space you find yourself in, whatever world you met, how mentally ready are you for it? And I think a lot of parents now, maybe not a lot of parents, but at least most people I know around me are trying to do their best to prepare their children for that world. Most of us were trying to prepare our kids for our world. But we've realized that our world is no longer what they are going to meet. So strength is how ready are they for their world? And I don't know what that looks like yet.</t>
        </is>
      </c>
      <c r="H72" t="inlineStr">
        <is>
          <t>I don’t know if we’re raising weaker men. I think many of us are in a tough spot. Parenting has evolved rapidly in the last 15 years, and we’re trying to figure out what it means to be a strong man in today’s world. For us, being strong required human interaction and building character through connections. That’s not as possible anymore. Many children today don’t even take walks outside. People are hesitant to let their kids out of the house. We used to play in the streets, but that’s not happening now. It’s not just Nigeria; it’s happening in first-world countries too. So, we’re all trying to figure out what raising a child looks like today. Are we raising weaker men? I don’t know, but the world they will face is different from the one we faced. Strength for them might not look the same as it did for us. For us, it was about achievements and status. For them, it might be about how they treat others. We’re still figuring out what strength means for them, but one thing is clear: it’s about being mentally prepared for the world they will encounter.</t>
        </is>
      </c>
      <c r="I72" t="inlineStr">
        <is>
          <t>English</t>
        </is>
      </c>
    </row>
    <row r="73">
      <c r="A73" t="inlineStr">
        <is>
          <t>BNK_072</t>
        </is>
      </c>
      <c r="B73" t="inlineStr">
        <is>
          <t>Banky Wellington</t>
        </is>
      </c>
      <c r="C73" t="inlineStr">
        <is>
          <t>YouTube (MENtality podcast)</t>
        </is>
      </c>
      <c r="D73" t="inlineStr">
        <is>
          <t>Podcast snippet</t>
        </is>
      </c>
      <c r="E73" t="inlineStr">
        <is>
          <t>https://www.youtube.com/watch?v=XbFCPgdK8QQ</t>
        </is>
      </c>
      <c r="F73" t="inlineStr">
        <is>
          <t>The speaker discusses parenting styles, mentioning gentle parenting and participation medals in children's competitions, reflecting on their role as a 'bad cop' parent.</t>
        </is>
      </c>
      <c r="G73" t="inlineStr">
        <is>
          <t>I think I'm... So I'm the bad cop at home already. I don't know that I'm going to go that far. But I also believe that there's a lot of gentle parenting going on. When he asked me to talk about it, because we mentioned it in a previous episode. One thing that struck me. Our kids are in the same school anyway. And I remember my kids going to... I think it was a gymnastics competition. And there were about 60 of them. Altogether, 40 or something altogether from this school. And it was a competition. People won medals. But at the end of the day, everybody got a medal. For participating.</t>
        </is>
      </c>
      <c r="H73" t="inlineStr">
        <is>
          <t>I think I’m already the bad cop at home. I don’t know if I’ll go that far, but I believe in gentle parenting. When we discussed it in a previous episode, something struck me. Our kids go to the same school, and I remember them going to a gymnastics competition. There were about 60 kids from the school, and everyone won a medal for participating. It’s a different approach.</t>
        </is>
      </c>
      <c r="I73" t="inlineStr">
        <is>
          <t>English</t>
        </is>
      </c>
    </row>
    <row r="74">
      <c r="A74" t="inlineStr">
        <is>
          <t>BNK_073</t>
        </is>
      </c>
      <c r="B74" t="inlineStr">
        <is>
          <t>Banky Wellington</t>
        </is>
      </c>
      <c r="C74" t="inlineStr">
        <is>
          <t>YouTube (MENtality podcast)</t>
        </is>
      </c>
      <c r="D74" t="inlineStr">
        <is>
          <t>Podcast snippet</t>
        </is>
      </c>
      <c r="E74">
        <f>HYPERLINK("https://www.youtube.com/watch?v=XbFCPgdK8QQ","https://www.youtube.com/watch?v=XbFCPgdK8QQ")</f>
        <v/>
      </c>
      <c r="F74" t="inlineStr">
        <is>
          <t>The speaker is the strict parent at home but also engages in the most conversations with their children.</t>
        </is>
      </c>
      <c r="G74" t="inlineStr">
        <is>
          <t>At home, I'm the bad cop. You may have plans. I'm the bad cop at home. So I'm more the... Yeah, I'm the one who is more... But interestingly, I also have the most conversations with my kids.</t>
        </is>
      </c>
      <c r="H74" t="inlineStr">
        <is>
          <t>At home, I'm the strict one. You might have your plans, but I'm the one who enforces the rules. Interestingly, I also have the most conversations with my kids.</t>
        </is>
      </c>
      <c r="I74" t="inlineStr">
        <is>
          <t>English</t>
        </is>
      </c>
    </row>
    <row r="75">
      <c r="A75" t="inlineStr">
        <is>
          <t>BNK_074</t>
        </is>
      </c>
      <c r="B75" t="inlineStr">
        <is>
          <t>Banky Wellington</t>
        </is>
      </c>
      <c r="C75" t="inlineStr">
        <is>
          <t>YouTube (MENtality podcast)</t>
        </is>
      </c>
      <c r="D75" t="inlineStr">
        <is>
          <t>Podcast snippet</t>
        </is>
      </c>
      <c r="E75">
        <f>HYPERLINK("https://www.youtube.com/watch?v=XbFCPgdK8QQ","https://www.youtube.com/watch?v=XbFCPgdK8QQ")</f>
        <v/>
      </c>
      <c r="F75" t="inlineStr">
        <is>
          <t>The speaker emphasizes the scarcity of positive fatherhood examples in scripture, highlighting the importance of sacrifice and service in manhood and fatherhood.</t>
        </is>
      </c>
      <c r="G75" t="inlineStr">
        <is>
          <t>I think that I want to end today by appreciating you for having this show and hosting these kinds of conversations, because I don't think we have enough of these conversations or really enough examples or life stories to draw from as men. It might interest you, and maybe you've never thought about this, but even in scripture, there are barely any examples of great fatherhood. Yeah. In scripture. Aside from maybe Joseph, the father of Jesus, because he had to accept that his wife had a baby that was not his. That's just that moment, right? But if you remove that, I actually can't think of any, not Abraham, not Isaac, not Jacob, not Moses, not any of the apostles. There's the only example of fatherhood in scripture that we have that is great is God. And flawless. And it's God saying, the example of fatherhood is somebody who lays down his life and sacrifices for the love that he has for his children. And ultimately, I think that's the call on manhood and on fatherhood is living a life of sacrifice and of service and understanding that it's bigger than what you want or your preferences or what you can get, but what you can give. And in giving, it's love, but it's also discipline. And that's where I would stop.</t>
        </is>
      </c>
      <c r="H75" t="inlineStr">
        <is>
          <t>I think that I want to end today by appreciating you for having this show and hosting these kinds of conversations, because I don't think we have enough of these conversations or really enough examples or life stories to draw from as men. It might interest you, and maybe you've never thought about this, but even in scripture, there are barely any examples of great fatherhood. Yeah. In scripture. Aside from maybe Joseph, the father of Jesus, because he had to accept that his wife had a baby that was not his. That's just that moment, right? But if you remove that, I actually can't think of any, not Abraham, not Isaac, not Jacob, not Moses, not any of the apostles. There's the only example of fatherhood in scripture that we have that is great is God. And flawless. And it's God saying, the example of fatherhood is somebody who lays down his life and sacrifices for the love that he has for his children. And ultimately, I think that's the call on manhood and on fatherhood is living a life of sacrifice and of service and understanding that it's bigger than what you want or your preferences or what you can get, but what you can give. And in giving, it's love, but it's also discipline. And that's where I would stop.</t>
        </is>
      </c>
      <c r="I75" t="inlineStr">
        <is>
          <t>English</t>
        </is>
      </c>
    </row>
    <row r="76">
      <c r="A76" t="inlineStr">
        <is>
          <t>BNK_075</t>
        </is>
      </c>
      <c r="B76" t="inlineStr">
        <is>
          <t>Banky Wellington</t>
        </is>
      </c>
      <c r="C76" t="inlineStr">
        <is>
          <t>YouTube (MENtality podcast)</t>
        </is>
      </c>
      <c r="D76" t="inlineStr">
        <is>
          <t>Podcast snippet</t>
        </is>
      </c>
      <c r="E76">
        <f>HYPERLINK("https://www.youtube.com/watch?v=XbFCPgdK8QQ","https://www.youtube.com/watch?v=XbFCPgdK8QQ")</f>
        <v/>
      </c>
      <c r="F76" t="inlineStr">
        <is>
          <t>The text discusses the illusion of safety on social media, comparing emotional harm from words to physical harm.</t>
        </is>
      </c>
      <c r="G76" t="inlineStr">
        <is>
          <t>You know what I say, though, you know, you did mention something very, very key, but I will say that as much as the wounds of the words are much heavier or just as heavy as even the physical one, what social media and what the space has done is create the illusion of a safe space, not an actual safe</t>
        </is>
      </c>
      <c r="H76" t="inlineStr">
        <is>
          <t>You know what I say, though, you know, you did mention something very, very key, but I will say that as much as the wounds of the words are much heavier or just as heavy as even the physical one, what social media and what the space has done is create the illusion of a safe space, not an actual safe</t>
        </is>
      </c>
      <c r="I76" t="inlineStr">
        <is>
          <t>English</t>
        </is>
      </c>
    </row>
    <row r="77">
      <c r="A77" t="inlineStr">
        <is>
          <t>BNK_076</t>
        </is>
      </c>
      <c r="B77" t="inlineStr">
        <is>
          <t>Banky Wellington</t>
        </is>
      </c>
      <c r="C77" t="inlineStr">
        <is>
          <t>YouTube (MENtality podcast)</t>
        </is>
      </c>
      <c r="D77" t="inlineStr">
        <is>
          <t>Podcast snippet</t>
        </is>
      </c>
      <c r="E77">
        <f>HYPERLINK("https://www.youtube.com/watch?v=XbFCPgdK8QQ","https://www.youtube.com/watch?v=XbFCPgdK8QQ")</f>
        <v/>
      </c>
      <c r="F77" t="inlineStr">
        <is>
          <t>Expresses concern about raising children in today's world, acknowledging both the positive and negative impacts of social media.</t>
        </is>
      </c>
      <c r="G77" t="inlineStr">
        <is>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is>
      </c>
      <c r="H77" t="inlineStr">
        <is>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is>
      </c>
      <c r="I77" t="inlineStr">
        <is>
          <t>English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content_id</t>
        </is>
      </c>
      <c r="B1" s="1" t="inlineStr">
        <is>
          <t>creator</t>
        </is>
      </c>
      <c r="C1" s="1" t="inlineStr">
        <is>
          <t>platform</t>
        </is>
      </c>
      <c r="D1" s="1" t="inlineStr">
        <is>
          <t>content_type</t>
        </is>
      </c>
      <c r="E1" s="1" t="inlineStr">
        <is>
          <t>source_url</t>
        </is>
      </c>
      <c r="F1" s="1" t="inlineStr">
        <is>
          <t>context</t>
        </is>
      </c>
      <c r="G1" s="1" t="inlineStr">
        <is>
          <t>text_original</t>
        </is>
      </c>
      <c r="H1" s="1" t="inlineStr">
        <is>
          <t>text_english</t>
        </is>
      </c>
      <c r="I1" s="1" t="inlineStr">
        <is>
          <t>language_detected</t>
        </is>
      </c>
    </row>
    <row r="2">
      <c r="A2" t="inlineStr">
        <is>
          <t>DEY_001</t>
        </is>
      </c>
      <c r="B2" t="inlineStr">
        <is>
          <t>Deyemi Okanlawon</t>
        </is>
      </c>
      <c r="C2" t="inlineStr">
        <is>
          <t>X / Twitter</t>
        </is>
      </c>
      <c r="D2" t="inlineStr">
        <is>
          <t>Tweet</t>
        </is>
      </c>
      <c r="E2">
        <f>HYPERLINK("https://x.com/_deyemi/status/1846206865396347176","https://x.com/_deyemi/status/1846206865396347176")</f>
        <v/>
      </c>
      <c r="F2" t="inlineStr">
        <is>
          <t>Deyemi reflects on parental sacrifices amid economic challenges, emphasizing fatherhood.</t>
        </is>
      </c>
      <c r="G2"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H2"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I2" t="inlineStr">
        <is>
          <t>English</t>
        </is>
      </c>
    </row>
    <row r="3">
      <c r="A3" t="inlineStr">
        <is>
          <t>DEY_002</t>
        </is>
      </c>
      <c r="B3" t="inlineStr">
        <is>
          <t>Deyemi Okanlawon</t>
        </is>
      </c>
      <c r="C3" t="inlineStr">
        <is>
          <t>X / Twitter</t>
        </is>
      </c>
      <c r="D3" t="inlineStr">
        <is>
          <t>Tweet</t>
        </is>
      </c>
      <c r="E3">
        <f>HYPERLINK("https://x.com/_deyemi/status/1694030169491538367","https://x.com/_deyemi/status/1694030169491538367")</f>
        <v/>
      </c>
      <c r="F3" t="inlineStr">
        <is>
          <t>Deyemi humorously questions how sexual activity is quantified, hinting at gender biases in sexual expectations.</t>
        </is>
      </c>
      <c r="G3" t="inlineStr">
        <is>
          <t>Pls when you kwarupt [corrupt] children are counting "rounds" is it the man or the woman you use to count? Tag your kwarupt [corrupt] friends to answer... I start with @edomalo</t>
        </is>
      </c>
      <c r="H3" t="inlineStr">
        <is>
          <t>Please, when corrupt children are counting "rounds," do you use the man or the woman to count? Tag your corrupt friends to answer... I start with @edomalo.</t>
        </is>
      </c>
      <c r="I3" t="inlineStr">
        <is>
          <t>Mixed (Pidgin + English)</t>
        </is>
      </c>
    </row>
    <row r="4">
      <c r="A4" t="inlineStr">
        <is>
          <t>DEY_003</t>
        </is>
      </c>
      <c r="B4" t="inlineStr">
        <is>
          <t>Deyemi Okanlawon</t>
        </is>
      </c>
      <c r="C4" t="inlineStr">
        <is>
          <t>X / Twitter</t>
        </is>
      </c>
      <c r="D4" t="inlineStr">
        <is>
          <t>Tweet</t>
        </is>
      </c>
      <c r="E4">
        <f>HYPERLINK("https://x.com/_deyemi/status/1674519625365876736","https://x.com/_deyemi/status/1674519625365876736")</f>
        <v/>
      </c>
      <c r="F4" t="inlineStr">
        <is>
          <t>Deyemi suggests self-control involves creating processes to avoid negative situations, promoting emotional discipline.</t>
        </is>
      </c>
      <c r="G4" t="inlineStr">
        <is>
          <t>Perhaps self control (for some of us guys) could be 90% putting a process around oneself that helps avoid unwanted situations?</t>
        </is>
      </c>
      <c r="H4" t="inlineStr">
        <is>
          <t>Perhaps self control (for some of us guys) could be 90% putting a process around oneself that helps avoid unwanted situations?</t>
        </is>
      </c>
      <c r="I4" t="inlineStr">
        <is>
          <t>English</t>
        </is>
      </c>
    </row>
    <row r="5">
      <c r="A5" t="inlineStr">
        <is>
          <t>DEY_004</t>
        </is>
      </c>
      <c r="B5" t="inlineStr">
        <is>
          <t>Deyemi Okanlawon</t>
        </is>
      </c>
      <c r="C5" t="inlineStr">
        <is>
          <t>X / Twitter</t>
        </is>
      </c>
      <c r="D5" t="inlineStr">
        <is>
          <t>Tweet</t>
        </is>
      </c>
      <c r="E5">
        <f>HYPERLINK("https://x.com/_deyemi/status/1660336229508870151","https://x.com/_deyemi/status/1660336229508870151")</f>
        <v/>
      </c>
      <c r="F5" t="inlineStr">
        <is>
          <t>Deyemi advocates for men's right to express their evolving truths, emphasizing emotional openness in relationships.</t>
        </is>
      </c>
      <c r="G5"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H5"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I5" t="inlineStr">
        <is>
          <t>English</t>
        </is>
      </c>
    </row>
    <row r="6">
      <c r="A6" t="inlineStr">
        <is>
          <t>DEY_005</t>
        </is>
      </c>
      <c r="B6" t="inlineStr">
        <is>
          <t>Deyemi Okanlawon</t>
        </is>
      </c>
      <c r="C6" t="inlineStr">
        <is>
          <t>X / Twitter</t>
        </is>
      </c>
      <c r="D6" t="inlineStr">
        <is>
          <t>Tweet</t>
        </is>
      </c>
      <c r="E6">
        <f>HYPERLINK("https://x.com/_deyemi/status/1640650926959599618","https://x.com/_deyemi/status/1640650926959599618")</f>
        <v/>
      </c>
      <c r="F6" t="inlineStr">
        <is>
          <t>Deyemi advises both men and women to focus on financial stability before pursuing serious relationships.</t>
        </is>
      </c>
      <c r="G6" t="inlineStr">
        <is>
          <t>If you're not yet financially buoyant perhaps it is wise take a break from "serious" relationship and focus on building yourself... this message from the federal association of common sense is for men &amp; women #openletter #butwhatdoiknow</t>
        </is>
      </c>
      <c r="H6" t="inlineStr">
        <is>
          <t>If you're not yet financially buoyant perhaps it is wise take a break from "serious" relationship and focus on building yourself... this message from the federal association of common sense is for men &amp; women #openletter #butwhatdoiknow</t>
        </is>
      </c>
      <c r="I6" t="inlineStr">
        <is>
          <t>English</t>
        </is>
      </c>
    </row>
    <row r="7">
      <c r="A7" t="inlineStr">
        <is>
          <t>DEY_006</t>
        </is>
      </c>
      <c r="B7" t="inlineStr">
        <is>
          <t>Deyemi Okanlawon</t>
        </is>
      </c>
      <c r="C7" t="inlineStr">
        <is>
          <t>X / Twitter</t>
        </is>
      </c>
      <c r="D7" t="inlineStr">
        <is>
          <t>Tweet</t>
        </is>
      </c>
      <c r="E7">
        <f>HYPERLINK("https://x.com/_deyemi/status/1640369752345288706","https://x.com/_deyemi/status/1640369752345288706")</f>
        <v/>
      </c>
      <c r="F7" t="inlineStr">
        <is>
          <t>Deyemi humorously shares about repaying a loan from his wife and sending her money to treat herself.</t>
        </is>
      </c>
      <c r="G7" t="inlineStr">
        <is>
          <t>A few weeks ago I finally paid off one loan wifey [wife] gave me so today, when I saw one funny post on IG, I sent her some cash and said "go spoil yourself"... me that I know she won't spend it and it'll end up being a loan to me with in-kind interest! Oshey GMD [Good Money Day] #WifeyBankPlc 👀🙄🤦🏽‍♂️😂</t>
        </is>
      </c>
      <c r="H7" t="inlineStr">
        <is>
          <t>A few weeks ago, I finally paid off a loan my wife gave me, so today, when I saw a funny post on Instagram, I sent her some cash and said, "go spoil yourself"... knowing she won't actually spend it and it'll end up being a loan to me with in-kind interest! Oshey GMD #WifeyBankPlc 👀🙄🤦🏽‍♂️😂</t>
        </is>
      </c>
      <c r="I7" t="inlineStr">
        <is>
          <t>Mixed (Pidgin + English)</t>
        </is>
      </c>
    </row>
    <row r="8">
      <c r="A8" t="inlineStr">
        <is>
          <t>DEY_007</t>
        </is>
      </c>
      <c r="B8" t="inlineStr">
        <is>
          <t>Deyemi Okanlawon</t>
        </is>
      </c>
      <c r="C8" t="inlineStr">
        <is>
          <t>X / Twitter</t>
        </is>
      </c>
      <c r="D8" t="inlineStr">
        <is>
          <t>Tweet</t>
        </is>
      </c>
      <c r="E8">
        <f>HYPERLINK("https://x.com/_deyemi/status/1612001517711523841","https://x.com/_deyemi/status/1612001517711523841")</f>
        <v/>
      </c>
      <c r="F8" t="inlineStr">
        <is>
          <t>Deyemi criticizes justifications for cheating by both genders, emphasizing that wrong actions remain wrong.</t>
        </is>
      </c>
      <c r="G8"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H8" t="inlineStr">
        <is>
          <t>It seems like a lot of women and men nowadays are just completely out of their minds! One is justifying cheating because of her financial needs and then breaking up, while the other is justifying cheating because he can cheat and still stay in a relationship! Nobody is perfect, but even if you do it, what's wrong is still wrong!</t>
        </is>
      </c>
      <c r="I8" t="inlineStr">
        <is>
          <t>Mixed (Pidgin + English)</t>
        </is>
      </c>
    </row>
    <row r="9">
      <c r="A9" t="inlineStr">
        <is>
          <t>DEY_008</t>
        </is>
      </c>
      <c r="B9" t="inlineStr">
        <is>
          <t>Deyemi Okanlawon</t>
        </is>
      </c>
      <c r="C9" t="inlineStr">
        <is>
          <t>X / Twitter</t>
        </is>
      </c>
      <c r="D9" t="inlineStr">
        <is>
          <t>Tweet</t>
        </is>
      </c>
      <c r="E9">
        <f>HYPERLINK("https://x.com/_deyemi/status/1226450923859464193","https://x.com/_deyemi/status/1226450923859464193")</f>
        <v/>
      </c>
      <c r="F9" t="inlineStr">
        <is>
          <t>Deyemi Okanlawon addresses gender issues, emphasizing that advocating for women's rights shouldn't oppress men; 'dey im lane' [stay in one's lane] means 'stay in one's lane' in Nigerian Pidgin.</t>
        </is>
      </c>
      <c r="G9" t="inlineStr">
        <is>
          <t>Madam but no one is derailing anyone na.... oppression and marginalization of women dey [is] im lane... not all men dey [are] im lane. The fight for one's freedom should not mean the subjugation of the other's.</t>
        </is>
      </c>
      <c r="H9" t="inlineStr">
        <is>
          <t>Madam, but no one is derailing anyone... oppression and marginalization of women is in his lane... not all men are in his lane. The fight for one's freedom shouldn't mean the subjugation of others.</t>
        </is>
      </c>
      <c r="I9" t="inlineStr">
        <is>
          <t>Mixed (Pidgin + English)</t>
        </is>
      </c>
    </row>
    <row r="10">
      <c r="A10" t="inlineStr">
        <is>
          <t>DEY_009</t>
        </is>
      </c>
      <c r="B10" t="inlineStr">
        <is>
          <t>Deyemi Okanlawon</t>
        </is>
      </c>
      <c r="C10" t="inlineStr">
        <is>
          <t>X / Twitter</t>
        </is>
      </c>
      <c r="D10" t="inlineStr">
        <is>
          <t>Tweet</t>
        </is>
      </c>
      <c r="E10">
        <f>HYPERLINK("https://x.com/_deyemi/status/1226493015319105537","https://x.com/_deyemi/status/1226493015319105537")</f>
        <v/>
      </c>
      <c r="F10" t="inlineStr">
        <is>
          <t>Deyemi Okanlawon discusses the negative impact of patriarchy on both genders, noting perceived restrictions on expressing certain views.</t>
        </is>
      </c>
      <c r="G10" t="inlineStr">
        <is>
          <t>Sigh I hear you... patriarchy has been as unfair and damaging to one sex as it has been to another but it does feel like some believe one gender dare not say or even think it</t>
        </is>
      </c>
      <c r="H10" t="inlineStr">
        <is>
          <t>Sigh I hear you... patriarchy has been as unfair and damaging to one sex as it has been to another but it does feel like some believe one gender dare not say or even think it</t>
        </is>
      </c>
      <c r="I10" t="inlineStr">
        <is>
          <t>English</t>
        </is>
      </c>
    </row>
    <row r="11">
      <c r="A11" t="inlineStr">
        <is>
          <t>DEY_010</t>
        </is>
      </c>
      <c r="B11" t="inlineStr">
        <is>
          <t>Deyemi Okanlawon</t>
        </is>
      </c>
      <c r="C11" t="inlineStr">
        <is>
          <t>X / Twitter</t>
        </is>
      </c>
      <c r="D11" t="inlineStr">
        <is>
          <t>Tweet</t>
        </is>
      </c>
      <c r="E11">
        <f>HYPERLINK("https://x.com/_deyemi/status/1309190324355563521","https://x.com/_deyemi/status/1309190324355563521")</f>
        <v/>
      </c>
      <c r="F11" t="inlineStr">
        <is>
          <t>The tweet humorously questions why a man wouldn't wash his wife's underwear after years of shared struggles and raising children together; 'wey' [who], 'dey carry' [be with], 'pikin' [children] in Nigerian Pidgin.</t>
        </is>
      </c>
      <c r="G11" t="inlineStr">
        <is>
          <t>Woman wey I don dey carry for 10yrs, 1000s of man-hours doing the various forms of doings, don suffer with me, don born 2 pikin join... na she I go dey form say I no fit wash her pant???</t>
        </is>
      </c>
      <c r="H11" t="inlineStr">
        <is>
          <t>The woman I've been with for 10 years, spending thousands of hours doing various things together, suffering with me, and having two kids together... am I really going to act like I can't wash her underwear?</t>
        </is>
      </c>
      <c r="I11" t="inlineStr">
        <is>
          <t>Mixed (Pidgin + English)</t>
        </is>
      </c>
    </row>
    <row r="12">
      <c r="A12" t="inlineStr">
        <is>
          <t>DEY_011</t>
        </is>
      </c>
      <c r="B12" t="inlineStr">
        <is>
          <t>Deyemi Okanlawon</t>
        </is>
      </c>
      <c r="C12" t="inlineStr">
        <is>
          <t>X / Twitter</t>
        </is>
      </c>
      <c r="D12" t="inlineStr">
        <is>
          <t>Tweet</t>
        </is>
      </c>
      <c r="E12">
        <f>HYPERLINK("https://x.com/_deyemi/status/1309679015171698690","https://x.com/_deyemi/status/1309679015171698690")</f>
        <v/>
      </c>
      <c r="F12" t="inlineStr">
        <is>
          <t>Deyemi Okanlawon advocates for gender equality by suggesting the inclusion of boys in a statement originally mentioning only girls.</t>
        </is>
      </c>
      <c r="G12" t="inlineStr">
        <is>
          <t>@RomeoProMax The only thing I disagree with here is *my girls*... equal opportunity dictates you add *and boys*</t>
        </is>
      </c>
      <c r="H12" t="inlineStr">
        <is>
          <t>@RomeoProMax The only thing I disagree with here is *my girls*... equal opportunity dictates you add *and boys*</t>
        </is>
      </c>
      <c r="I12" t="inlineStr">
        <is>
          <t>English</t>
        </is>
      </c>
    </row>
    <row r="13">
      <c r="A13" t="inlineStr">
        <is>
          <t>DEY_012</t>
        </is>
      </c>
      <c r="B13" t="inlineStr">
        <is>
          <t>Deyemi Okanlawon</t>
        </is>
      </c>
      <c r="C13" t="inlineStr">
        <is>
          <t>X / Twitter</t>
        </is>
      </c>
      <c r="D13" t="inlineStr">
        <is>
          <t>Tweet</t>
        </is>
      </c>
      <c r="E13">
        <f>HYPERLINK("https://x.com/_deyemi/status/1333661251948441600","https://x.com/_deyemi/status/1333661251948441600")</f>
        <v/>
      </c>
      <c r="F13" t="inlineStr">
        <is>
          <t>Deyemi Okanlawon emphasizes that equal rights should come with equal responsibilities, addressing gender roles and equality in relationships.</t>
        </is>
      </c>
      <c r="G13" t="inlineStr">
        <is>
          <t>@thesheilaojei I’m a provider who believes that equal rights equates to equal responsibilities</t>
        </is>
      </c>
      <c r="H13" t="inlineStr">
        <is>
          <t>@thesheilaojei I’m a provider who believes that equal rights equates to equal responsibilities</t>
        </is>
      </c>
      <c r="I13" t="inlineStr">
        <is>
          <t>English</t>
        </is>
      </c>
    </row>
    <row r="14">
      <c r="A14" t="inlineStr">
        <is>
          <t>DEY_013</t>
        </is>
      </c>
      <c r="B14" t="inlineStr">
        <is>
          <t>Deyemi Okanlawon</t>
        </is>
      </c>
      <c r="C14" t="inlineStr">
        <is>
          <t>X / Twitter</t>
        </is>
      </c>
      <c r="D14" t="inlineStr">
        <is>
          <t>Tweet</t>
        </is>
      </c>
      <c r="E14">
        <f>HYPERLINK("https://x.com/_deyemi/status/1396817067316289537","https://x.com/_deyemi/status/1396817067316289537")</f>
        <v/>
      </c>
      <c r="F14" t="inlineStr">
        <is>
          <t>The tweet advises men to prioritize self-care, including medical check-ups and therapy, over constant work; 'cheques' refers to money, 'statistic' implies negative health outcomes.</t>
        </is>
      </c>
      <c r="G14"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H14"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I14" t="inlineStr">
        <is>
          <t>English</t>
        </is>
      </c>
    </row>
    <row r="15">
      <c r="A15" t="inlineStr">
        <is>
          <t>DEY_021</t>
        </is>
      </c>
      <c r="B15" t="inlineStr">
        <is>
          <t>Deyemi Okanlawon</t>
        </is>
      </c>
      <c r="C15" t="inlineStr">
        <is>
          <t>X / Twitter</t>
        </is>
      </c>
      <c r="D15" t="inlineStr">
        <is>
          <t>Tweet</t>
        </is>
      </c>
      <c r="E15">
        <f>HYPERLINK("https://x.com/_deyemi/status/1396816102240489479","https://x.com/_deyemi/status/1396816102240489479")</f>
        <v/>
      </c>
      <c r="F15" t="inlineStr">
        <is>
          <t>A Nigerian actor urges men to prioritize their health, challenging societal expectations of being sole providers.</t>
        </is>
      </c>
      <c r="G15" t="inlineStr">
        <is>
          <t>Fellow Nigerian men PLEASE take care of your physical and mental health. You didn’t choose your gender or the label of PROVIDER so abeg [please] no kill yourself</t>
        </is>
      </c>
      <c r="H15" t="inlineStr">
        <is>
          <t>Fellow Nigerian men, PLEASE take care of your physical and mental health. You didn’t choose your gender or the label of PROVIDER, so please don’t kill yourself.</t>
        </is>
      </c>
      <c r="I15" t="inlineStr">
        <is>
          <t>Mixed (Pidgin + English)</t>
        </is>
      </c>
    </row>
    <row r="16">
      <c r="A16" t="inlineStr">
        <is>
          <t>DEY_014</t>
        </is>
      </c>
      <c r="B16" t="inlineStr">
        <is>
          <t>Deyemi Okanlawon</t>
        </is>
      </c>
      <c r="C16" t="inlineStr">
        <is>
          <t>X / Twitter</t>
        </is>
      </c>
      <c r="D16" t="inlineStr">
        <is>
          <t>Tweet</t>
        </is>
      </c>
      <c r="E16">
        <f>HYPERLINK("https://x.com/_deyemi/status/1484112712443518978","https://x.com/_deyemi/status/1484112712443518978")</f>
        <v/>
      </c>
      <c r="F16" t="inlineStr">
        <is>
          <t>The tweet compares the deceit of a man lying about his emotions to a woman lying about reaching orgasm, highlighting gender dynamics in relationships.</t>
        </is>
      </c>
      <c r="G16" t="inlineStr">
        <is>
          <t>From a conversation “There’s no difference between a man who lies about his feelings and a woman who lies about cuming!”</t>
        </is>
      </c>
      <c r="H16" t="inlineStr">
        <is>
          <t>From a conversation “There’s no difference between a man who lies about his feelings and a woman who lies about cuming!”</t>
        </is>
      </c>
      <c r="I16" t="inlineStr">
        <is>
          <t>English</t>
        </is>
      </c>
    </row>
    <row r="17">
      <c r="A17" t="inlineStr">
        <is>
          <t>DEY_015</t>
        </is>
      </c>
      <c r="B17" t="inlineStr">
        <is>
          <t>Deyemi Okanlawon</t>
        </is>
      </c>
      <c r="C17" t="inlineStr">
        <is>
          <t>X / Twitter</t>
        </is>
      </c>
      <c r="D17" t="inlineStr">
        <is>
          <t>Tweet</t>
        </is>
      </c>
      <c r="E17">
        <f>HYPERLINK("https://x.com/_deyemi/status/1558235509062770688","https://x.com/_deyemi/status/1558235509062770688")</f>
        <v/>
      </c>
      <c r="F17" t="inlineStr">
        <is>
          <t>Deyemi Okanlawon questions the assumption that men are solely providers in marriage, using a rhetorical question and a smiley face.</t>
        </is>
      </c>
      <c r="G17" t="inlineStr">
        <is>
          <t>@Prettyna2705 You think men are only wired to provide when they marry??? ☺️</t>
        </is>
      </c>
      <c r="H17" t="inlineStr">
        <is>
          <t>@Prettyna2705 You think men are only wired to provide when they marry??? ☺️</t>
        </is>
      </c>
      <c r="I17" t="inlineStr">
        <is>
          <t>English</t>
        </is>
      </c>
    </row>
    <row r="18">
      <c r="A18" t="inlineStr">
        <is>
          <t>DEY_016</t>
        </is>
      </c>
      <c r="B18" t="inlineStr">
        <is>
          <t>Deyemi Okanlawon</t>
        </is>
      </c>
      <c r="C18" t="inlineStr">
        <is>
          <t>X / Twitter</t>
        </is>
      </c>
      <c r="D18" t="inlineStr">
        <is>
          <t>Tweet</t>
        </is>
      </c>
      <c r="E18">
        <f>HYPERLINK("https://x.com/_deyemi/status/1557661960992428032","https://x.com/_deyemi/status/1557661960992428032")</f>
        <v/>
      </c>
      <c r="F18" t="inlineStr">
        <is>
          <t>Deyemi Okanlawon warns men about stress-related health risks, criticizing societal pressure on men as sole providers; 'provider' implies traditional male role.</t>
        </is>
      </c>
      <c r="G18" t="inlineStr">
        <is>
          <t>Lost two male friends in the past few days... likely stress related. Pls guys take care of yourself let them not use "provider" to kill you!</t>
        </is>
      </c>
      <c r="H18" t="inlineStr">
        <is>
          <t>Lost two male friends in the past few days... likely stress related. Pls guys take care of yourself let them not use "provider" to kill you!</t>
        </is>
      </c>
      <c r="I18" t="inlineStr">
        <is>
          <t>English</t>
        </is>
      </c>
    </row>
    <row r="19">
      <c r="A19" t="inlineStr">
        <is>
          <t>DEY_017</t>
        </is>
      </c>
      <c r="B19" t="inlineStr">
        <is>
          <t>Deyemi Okanlawon</t>
        </is>
      </c>
      <c r="C19" t="inlineStr">
        <is>
          <t>X / Twitter</t>
        </is>
      </c>
      <c r="D19" t="inlineStr">
        <is>
          <t>Tweet</t>
        </is>
      </c>
      <c r="E19">
        <f>HYPERLINK("https://x.com/_deyemi/status/1852709730671636910","https://x.com/_deyemi/status/1852709730671636910")</f>
        <v/>
      </c>
      <c r="F19" t="inlineStr">
        <is>
          <t>Deyemi Okanlawon discusses the difficulty men face in showing vulnerability due to societal pressures, choosing to confront internal struggles openly.</t>
        </is>
      </c>
      <c r="G19"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H19" t="inlineStr">
        <is>
          <t>As a man, it’s incredibly hard to be vulnerable knowing that any little perceived weakness makes you an even bigger target! I’ve decided I’d rather go down fighting external battles than slowly die from a silent struggle with the enemy within… so help me God #3WorkingDays https://t.co/K58FV1JM72</t>
        </is>
      </c>
      <c r="I19" t="inlineStr">
        <is>
          <t>Mixed (Pidgin + English)</t>
        </is>
      </c>
    </row>
    <row r="20">
      <c r="A20" t="inlineStr">
        <is>
          <t>DEY_018</t>
        </is>
      </c>
      <c r="B20" t="inlineStr">
        <is>
          <t>Deyemi Okanlawon</t>
        </is>
      </c>
      <c r="C20" t="inlineStr">
        <is>
          <t>X / Twitter</t>
        </is>
      </c>
      <c r="D20" t="inlineStr">
        <is>
          <t>Tweet</t>
        </is>
      </c>
      <c r="E20">
        <f>HYPERLINK("https://x.com/_deyemi/status/1901981220218577289","https://x.com/_deyemi/status/1901981220218577289")</f>
        <v/>
      </c>
      <c r="F20" t="inlineStr">
        <is>
          <t>Deyemi Okanlawon expresses emotional difficulty watching a Netflix show about adolescence, fearing its relevance to his experience as a father of three sons.</t>
        </is>
      </c>
      <c r="G20" t="inlineStr">
        <is>
          <t>Been avoiding watching this Adolescence show on Netflix cos even the trailer is so triggering. 6 mins 39 secs in and I’ve had to pause. I’ve got 3 sons and know exactly how this will play out if it were me…</t>
        </is>
      </c>
      <c r="H20" t="inlineStr">
        <is>
          <t>I've been avoiding watching this Adolescence show on Netflix because even the trailer is so triggering. Six minutes and thirty-nine seconds in, and I’ve had to pause. I have three sons and know exactly how this would play out if it were me...</t>
        </is>
      </c>
      <c r="I20" t="inlineStr">
        <is>
          <t>English</t>
        </is>
      </c>
    </row>
    <row r="21">
      <c r="A21" t="inlineStr">
        <is>
          <t>DEY_019</t>
        </is>
      </c>
      <c r="B21" t="inlineStr">
        <is>
          <t>Deyemi Okanlawon</t>
        </is>
      </c>
      <c r="C21" t="inlineStr">
        <is>
          <t>X / Twitter</t>
        </is>
      </c>
      <c r="D21" t="inlineStr">
        <is>
          <t>Tweet</t>
        </is>
      </c>
      <c r="E21">
        <f>HYPERLINK("https://x.com/_deyemi/status/1991944018058727780","https://x.com/_deyemi/status/1991944018058727780")</f>
        <v/>
      </c>
      <c r="F21" t="inlineStr">
        <is>
          <t>Deyemi Okanlawon emphasizes checking in on friends' well-being beyond surface-level responses, using 'abeg' [please] to stress importance.</t>
        </is>
      </c>
      <c r="G21" t="inlineStr">
        <is>
          <t>GUYS ABEG [please] ALWAYS ASK YOUR PPL [people] HOW THEY ARE DOING, ESPECIALLY IF SOMETHING SEEMS OFF, AND DON’T SETTLE FOR “I’M FINE”!</t>
        </is>
      </c>
      <c r="H21" t="inlineStr">
        <is>
          <t>GUYS, PLEASE ALWAYS ASK YOUR PEOPLE HOW THEY ARE DOING, ESPECIALLY IF SOMETHING SEEMS OFF, AND DON’T SETTLE FOR “I’M FINE”!</t>
        </is>
      </c>
      <c r="I21" t="inlineStr">
        <is>
          <t>Mixed (Pidgin + English)</t>
        </is>
      </c>
    </row>
    <row r="22">
      <c r="A22" t="inlineStr">
        <is>
          <t>DEY_020</t>
        </is>
      </c>
      <c r="B22" t="inlineStr">
        <is>
          <t>Deyemi Okanlawon</t>
        </is>
      </c>
      <c r="C22" t="inlineStr">
        <is>
          <t>X / Twitter</t>
        </is>
      </c>
      <c r="D22" t="inlineStr">
        <is>
          <t>Tweet</t>
        </is>
      </c>
      <c r="E22">
        <f>HYPERLINK("https://x.com/_deyemi/status/1594672742464622592","https://x.com/_deyemi/status/1594672742464622592")</f>
        <v/>
      </c>
      <c r="F22" t="inlineStr">
        <is>
          <t>Deyemi Okanlawon expresses his aspiration to fulfill various personal and social roles, acknowledging his imperfections and seeking divine assistance.</t>
        </is>
      </c>
      <c r="G22" t="inlineStr">
        <is>
          <t>I’m not perfect… only trying to be a decent human, husband lover, present father, supportive sibling, inspiring colleague, and good friend. So help me God</t>
        </is>
      </c>
      <c r="H22" t="inlineStr">
        <is>
          <t>I’m not perfect… just trying to be a decent human, husband, lover, present father, supportive sibling, inspiring colleague, and good friend. So help me God.</t>
        </is>
      </c>
      <c r="I22" t="inlineStr">
        <is>
          <t>English</t>
        </is>
      </c>
    </row>
    <row r="23">
      <c r="A23" t="inlineStr">
        <is>
          <t>DEY_022</t>
        </is>
      </c>
      <c r="B23" t="inlineStr">
        <is>
          <t>Deyemi Okanlawon</t>
        </is>
      </c>
      <c r="C23" t="inlineStr">
        <is>
          <t>X / Twitter</t>
        </is>
      </c>
      <c r="D23" t="inlineStr">
        <is>
          <t>Tweet</t>
        </is>
      </c>
      <c r="E23">
        <f>HYPERLINK("https://x.com/_deyemi/status/1380908200388661256","https://x.com/_deyemi/status/1380908200388661256")</f>
        <v/>
      </c>
      <c r="F23" t="inlineStr">
        <is>
          <t>Deyemi Okanlawon criticizes backlash against Chimamanda, highlighting misunderstandings and condemning cancel culture and online bullying.</t>
        </is>
      </c>
      <c r="G23" t="inlineStr">
        <is>
          <t>This Chimamanda saga, chai [wow], the level of thinking! What did she say to deserve all this nonsense talk? It's like some ppl [people] don't understand English! Male and female bullies just jumping on nothing to expose their innate ignorance, wickedness and pure hatred. Cancel culture my ass</t>
        </is>
      </c>
      <c r="H23" t="inlineStr">
        <is>
          <t>This Chimamanda saga, wow, the level of thinking! What did she say to deserve all this nonsense talk? It's like some people don't understand English! Male and female bullies just jumping on nothing to expose their innate ignorance, wickedness, and pure hatred. Cancel culture, my foot!</t>
        </is>
      </c>
      <c r="I23" t="inlineStr">
        <is>
          <t>Mixed (Pidgin + English)</t>
        </is>
      </c>
    </row>
    <row r="24">
      <c r="A24" t="inlineStr">
        <is>
          <t>DEY_023</t>
        </is>
      </c>
      <c r="B24" t="inlineStr">
        <is>
          <t>Deyemi Okanlawon</t>
        </is>
      </c>
      <c r="C24" t="inlineStr">
        <is>
          <t>X / Twitter</t>
        </is>
      </c>
      <c r="D24" t="inlineStr">
        <is>
          <t>Tweet</t>
        </is>
      </c>
      <c r="E24">
        <f>HYPERLINK("https://x.com/_deyemi/status/1223908274380079107","https://x.com/_deyemi/status/1223908274380079107")</f>
        <v/>
      </c>
      <c r="F24" t="inlineStr">
        <is>
          <t>The tweet critiques the misuse of the phrase 'not all men' while advocating for equal rights and opportunities for all individuals.</t>
        </is>
      </c>
      <c r="G24" t="inlineStr">
        <is>
          <t>NOT ALL MEN... and yet I could care less about ppl who pervert the truth of everyone having equal rights of expression and opportunities for personal/financial/career progress.</t>
        </is>
      </c>
      <c r="H24" t="inlineStr">
        <is>
          <t>NOT ALL MEN... and yet I could care less about ppl who pervert the truth of everyone having equal rights of expression and opportunities for personal/financial/career progress.</t>
        </is>
      </c>
      <c r="I24" t="inlineStr">
        <is>
          <t>English</t>
        </is>
      </c>
    </row>
    <row r="25">
      <c r="A25" t="inlineStr">
        <is>
          <t>DEY_024</t>
        </is>
      </c>
      <c r="B25" t="inlineStr">
        <is>
          <t>Deyemi Okanlawon</t>
        </is>
      </c>
      <c r="C25" t="inlineStr">
        <is>
          <t>X / Twitter</t>
        </is>
      </c>
      <c r="D25" t="inlineStr">
        <is>
          <t>Tweet</t>
        </is>
      </c>
      <c r="E25">
        <f>HYPERLINK("https://x.com/_deyemi/status/1606029138787151873","https://x.com/_deyemi/status/1606029138787151873")</f>
        <v/>
      </c>
      <c r="F25" t="inlineStr">
        <is>
          <t>A prayer for personal growth and marital harmony, inspired by a desire to emulate a positive example seen in a video.</t>
        </is>
      </c>
      <c r="G25" t="inlineStr">
        <is>
          <t>Lord pls [please] help me be a better and better man and husband so we too can do this type of video!</t>
        </is>
      </c>
      <c r="H25" t="inlineStr">
        <is>
          <t>Lord, please help me be a better man and husband so we too can do this type of video!</t>
        </is>
      </c>
      <c r="I25" t="inlineStr">
        <is>
          <t>Mixed (Pidgin + English)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content_id</t>
        </is>
      </c>
      <c r="B1" s="1" t="inlineStr">
        <is>
          <t>creator</t>
        </is>
      </c>
      <c r="C1" s="1" t="inlineStr">
        <is>
          <t>platform</t>
        </is>
      </c>
      <c r="D1" s="1" t="inlineStr">
        <is>
          <t>content_type</t>
        </is>
      </c>
      <c r="E1" s="1" t="inlineStr">
        <is>
          <t>source_url</t>
        </is>
      </c>
      <c r="F1" s="1" t="inlineStr">
        <is>
          <t>context</t>
        </is>
      </c>
      <c r="G1" s="1" t="inlineStr">
        <is>
          <t>text_original</t>
        </is>
      </c>
      <c r="H1" s="1" t="inlineStr">
        <is>
          <t>text_english</t>
        </is>
      </c>
      <c r="I1" s="1" t="inlineStr">
        <is>
          <t>language_detected</t>
        </is>
      </c>
    </row>
    <row r="2">
      <c r="A2" t="inlineStr">
        <is>
          <t>EBK_001</t>
        </is>
      </c>
      <c r="B2" t="inlineStr">
        <is>
          <t>Ebuka Obi-Uchendu</t>
        </is>
      </c>
      <c r="C2" t="inlineStr">
        <is>
          <t>YouTube (MENtality podcast — host)</t>
        </is>
      </c>
      <c r="D2" t="inlineStr">
        <is>
          <t>Podcast monologue / framing</t>
        </is>
      </c>
      <c r="E2" t="inlineStr">
        <is>
          <t>https://www.youtube.com/watch?v=V_eHJfW87iA</t>
        </is>
      </c>
      <c r="F2" t="inlineStr">
        <is>
          <t>Ebuka Obi-Uchendu reflects on his father's balance between conservative beliefs and allowing his children freedom, noting hard work and provision.</t>
        </is>
      </c>
      <c r="G2"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H2"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c r="I2" t="inlineStr">
        <is>
          <t>English</t>
        </is>
      </c>
    </row>
    <row r="3">
      <c r="A3" t="inlineStr">
        <is>
          <t>EBK_002</t>
        </is>
      </c>
      <c r="B3" t="inlineStr">
        <is>
          <t>Ebuka Obi-Uchendu</t>
        </is>
      </c>
      <c r="C3" t="inlineStr">
        <is>
          <t>YouTube (MENtality podcast — host)</t>
        </is>
      </c>
      <c r="D3" t="inlineStr">
        <is>
          <t>Podcast monologue / framing</t>
        </is>
      </c>
      <c r="E3" t="inlineStr">
        <is>
          <t>https://www.youtube.com/watch?v=V_eHJfW87iA</t>
        </is>
      </c>
      <c r="F3" t="inlineStr">
        <is>
          <t>Ebuka discusses debates on father figures' impact on young men's behavior, referencing crime rates and love in Nigerian context.</t>
        </is>
      </c>
      <c r="G3"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H3"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c r="I3" t="inlineStr">
        <is>
          <t>English</t>
        </is>
      </c>
    </row>
    <row r="4">
      <c r="A4" t="inlineStr">
        <is>
          <t>EBK_003</t>
        </is>
      </c>
      <c r="B4" t="inlineStr">
        <is>
          <t>Ebuka Obi-Uchendu</t>
        </is>
      </c>
      <c r="C4" t="inlineStr">
        <is>
          <t>YouTube (MENtality podcast — host)</t>
        </is>
      </c>
      <c r="D4" t="inlineStr">
        <is>
          <t>Podcast monologue / framing</t>
        </is>
      </c>
      <c r="E4" t="inlineStr">
        <is>
          <t>https://www.youtube.com/watch?v=V_eHJfW87iA</t>
        </is>
      </c>
      <c r="F4" t="inlineStr">
        <is>
          <t>Ebuka discusses parenting challenges, respect vs. fear, and gentle parenting, noting Lagos schools' trend of awarding all participants in competitions.</t>
        </is>
      </c>
      <c r="G4"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c r="H4" t="inlineStr">
        <is>
          <t>Your children talk back at you. So are those things right? Because what is respect and what is fear? I guess that's where the line is drawn. As a father, most fathers were feared, but you still want to maintain respect. But his point is that we're even losing respect now. Your children talk back at you when you give them instructions. They throw tantrums at 10 years old. A 10-year-old shouldn't be throwing a tantrum. I brought you into this world; I can take you out. But gentle parenting is a thing. And it also seeps into schools. I don't know what school your kids went to when they were here, but a lot of schools, at least a couple I've seen in Lagos, do this thing where they go for a swimming competition or gymnastics competition and everyone gets a medal.</t>
        </is>
      </c>
      <c r="I4" t="inlineStr">
        <is>
          <t>Mixed (Pidgin + English)</t>
        </is>
      </c>
    </row>
    <row r="5">
      <c r="A5" t="inlineStr">
        <is>
          <t>EBK_004</t>
        </is>
      </c>
      <c r="B5" t="inlineStr">
        <is>
          <t>Ebuka Obi-Uchendu</t>
        </is>
      </c>
      <c r="C5" t="inlineStr">
        <is>
          <t>YouTube (MENtality podcast — host)</t>
        </is>
      </c>
      <c r="D5" t="inlineStr">
        <is>
          <t>Podcast monologue / framing</t>
        </is>
      </c>
      <c r="E5" t="inlineStr">
        <is>
          <t>https://www.youtube.com/watch?v=V_eHJfW87iA</t>
        </is>
      </c>
      <c r="F5" t="inlineStr">
        <is>
          <t>Ebuka Obi-Uchendu critiques modern parenting and education trends, questioning the impact on fatherhood and traditional competitive values in Nigeria.</t>
        </is>
      </c>
      <c r="G5"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c r="H5" t="inlineStr">
        <is>
          <t>A participation medal. Why? You don't want to make some kids feel bad. So the winners get medals, but there's a participation medal for everyone or a certificate or something. So everyone leaves with something. I'm sorry, but you should be either the winner or the loser. Schools have eliminated positions. We used to have positions where I came second or first. Not only did some schools do that, they used to even call people out on stage and say they wouldn't disgrace the bottom three. And I'd say, last position. So many schools did that. They shamed people who came in the bottom three. But now, gentle parenting has seeped into everything, and fathers have become part of it. So I guess my question is, what role are we supposed to play now? Are we losing what fatherhood is supposed to look like?</t>
        </is>
      </c>
      <c r="I5" t="inlineStr">
        <is>
          <t>Mixed (Pidgin + English)</t>
        </is>
      </c>
    </row>
    <row r="6">
      <c r="A6" t="inlineStr">
        <is>
          <t>EBK_005</t>
        </is>
      </c>
      <c r="B6" t="inlineStr">
        <is>
          <t>Ebuka Obi-Uchendu</t>
        </is>
      </c>
      <c r="C6" t="inlineStr">
        <is>
          <t>YouTube (MENtality podcast — host)</t>
        </is>
      </c>
      <c r="D6" t="inlineStr">
        <is>
          <t>Podcast monologue / framing</t>
        </is>
      </c>
      <c r="E6" t="inlineStr">
        <is>
          <t>https://www.youtube.com/watch?v=V_eHJfW87iA</t>
        </is>
      </c>
      <c r="F6" t="inlineStr">
        <is>
          <t>Ebuka Obi-Uchendu discusses his parenting style, balancing authority and friendship, with references to Nigerian parenting norms and 'carrot and stick' approach.</t>
        </is>
      </c>
      <c r="G6"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H6"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c r="I6" t="inlineStr">
        <is>
          <t>English</t>
        </is>
      </c>
    </row>
    <row r="7">
      <c r="A7" t="inlineStr">
        <is>
          <t>EBK_006</t>
        </is>
      </c>
      <c r="B7" t="inlineStr">
        <is>
          <t>Ebuka Obi-Uchendu</t>
        </is>
      </c>
      <c r="C7" t="inlineStr">
        <is>
          <t>YouTube (MENtality podcast — host)</t>
        </is>
      </c>
      <c r="D7" t="inlineStr">
        <is>
          <t>Podcast monologue / framing</t>
        </is>
      </c>
      <c r="E7" t="inlineStr">
        <is>
          <t>https://www.youtube.com/watch?v=V_eHJfW87iA</t>
        </is>
      </c>
      <c r="F7" t="inlineStr">
        <is>
          <t>Ebuka Obi-Uchendu discusses evolving fatherhood roles, questioning traditional gender roles and what being a 'present' father means today.</t>
        </is>
      </c>
      <c r="G7"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H7"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I7" t="inlineStr">
        <is>
          <t>English</t>
        </is>
      </c>
    </row>
    <row r="8">
      <c r="A8" t="inlineStr">
        <is>
          <t>EBK_007</t>
        </is>
      </c>
      <c r="B8" t="inlineStr">
        <is>
          <t>Ebuka Obi-Uchendu</t>
        </is>
      </c>
      <c r="C8" t="inlineStr">
        <is>
          <t>YouTube (MENtality podcast — host)</t>
        </is>
      </c>
      <c r="D8" t="inlineStr">
        <is>
          <t>Podcast monologue / framing</t>
        </is>
      </c>
      <c r="E8" t="inlineStr">
        <is>
          <t>https://www.youtube.com/watch?v=V_eHJfW87iA</t>
        </is>
      </c>
      <c r="F8" t="inlineStr">
        <is>
          <t>Ebuka discusses the balance fathers need in parenting, emphasizing a middle ground approach on his MENtality podcast.</t>
        </is>
      </c>
      <c r="G8"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H8"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I8" t="inlineStr">
        <is>
          <t>English</t>
        </is>
      </c>
    </row>
    <row r="9">
      <c r="A9" t="inlineStr">
        <is>
          <t>EBK_008</t>
        </is>
      </c>
      <c r="B9" t="inlineStr">
        <is>
          <t>Ebuka Obi-Uchendu</t>
        </is>
      </c>
      <c r="C9" t="inlineStr">
        <is>
          <t>YouTube (MENtality podcast — host)</t>
        </is>
      </c>
      <c r="D9" t="inlineStr">
        <is>
          <t>Podcast monologue / framing</t>
        </is>
      </c>
      <c r="E9" t="inlineStr">
        <is>
          <t>https://www.youtube.com/watch?v=V_eHJfW87iA</t>
        </is>
      </c>
      <c r="F9" t="inlineStr">
        <is>
          <t>Ebuka Obi-Uchendu discusses modern fatherhood roles, questioning if providing for children is solely a father's duty or a shared parental responsibility.</t>
        </is>
      </c>
      <c r="G9"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H9"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c r="I9" t="inlineStr">
        <is>
          <t>English</t>
        </is>
      </c>
    </row>
    <row r="10">
      <c r="A10" t="inlineStr">
        <is>
          <t>EBK_009</t>
        </is>
      </c>
      <c r="B10" t="inlineStr">
        <is>
          <t>Ebuka Obi-Uchendu</t>
        </is>
      </c>
      <c r="C10" t="inlineStr">
        <is>
          <t>YouTube (MENtality podcast — host)</t>
        </is>
      </c>
      <c r="D10" t="inlineStr">
        <is>
          <t>Podcast monologue / framing</t>
        </is>
      </c>
      <c r="E10" t="inlineStr">
        <is>
          <t>https://www.youtube.com/watch?v=V_eHJfW87iA</t>
        </is>
      </c>
      <c r="F10" t="inlineStr">
        <is>
          <t>Ebuka Obi-Uchendu discusses Igbo cultural values, highlighting their conservatism, patriarchal nature, and emphasis on wealth and success before marriage, referencing 'Uriako'.</t>
        </is>
      </c>
      <c r="G10"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c r="H10" t="inlineStr">
        <is>
          <t>Oh yeah, let me tell you. I just wonder, Igbos are probably one of the most conservative tribes in Nigeria. We're very patriarchal. In the East, it's a man's world. I don't know about the North, but Igbos generally place a huge emphasis on wealth and success. Some Igbos say this is why Igbo men are among the last, by age, to get married compared to other tribes. An Igbo man will most likely not get married until he has a house, a car, and a thriving business. He needs to reach a certain level of success before he starts thinking about marriage because he wants his wife to be like his trophy and a symbol of his glory. Yes, I've said this before. I don't know of any other tribe that has a title like Uriako, which literally means 'chopper of wealth.'</t>
        </is>
      </c>
      <c r="I10" t="inlineStr">
        <is>
          <t>English</t>
        </is>
      </c>
    </row>
    <row r="11">
      <c r="A11" t="inlineStr">
        <is>
          <t>EBK_010</t>
        </is>
      </c>
      <c r="B11" t="inlineStr">
        <is>
          <t>Ebuka Obi-Uchendu</t>
        </is>
      </c>
      <c r="C11" t="inlineStr">
        <is>
          <t>YouTube (MENtality podcast — host)</t>
        </is>
      </c>
      <c r="D11" t="inlineStr">
        <is>
          <t>Podcast monologue / framing</t>
        </is>
      </c>
      <c r="E11" t="inlineStr">
        <is>
          <t>https://www.youtube.com/watch?v=V_eHJfW87iA</t>
        </is>
      </c>
      <c r="F11" t="inlineStr">
        <is>
          <t>Ebuka discusses Igbo cultural norms, highlighting the term 'Uriako' for wives and how Igbo masculinity is tied to achievements and wealth.</t>
        </is>
      </c>
      <c r="G11"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c r="H11" t="inlineStr">
        <is>
          <t>And it's a pet name that Igbo men give their wives: Uriako, the chopper of my wealth. Wow. I'm speaking from my perspective, and I don't know of any other tribe that is like this. An Igbo man can stay single until he's 48 because he's trying to reach a milestone. When it comes to weddings, that's just how we are. A lot of our masculinity, fatherhood, and being a husband is defined by what you've achieved and acquired. I don't know many other tribes that are like this, but I'm not sure what your point was.</t>
        </is>
      </c>
      <c r="I11" t="inlineStr">
        <is>
          <t>English</t>
        </is>
      </c>
    </row>
    <row r="12">
      <c r="A12" t="inlineStr">
        <is>
          <t>EBK_011</t>
        </is>
      </c>
      <c r="B12" t="inlineStr">
        <is>
          <t>Ebuka Obi-Uchendu</t>
        </is>
      </c>
      <c r="C12" t="inlineStr">
        <is>
          <t>YouTube (MENtality podcast — host)</t>
        </is>
      </c>
      <c r="D12" t="inlineStr">
        <is>
          <t>Podcast monologue / framing</t>
        </is>
      </c>
      <c r="E12" t="inlineStr">
        <is>
          <t>https://www.youtube.com/watch?v=V_eHJfW87iA</t>
        </is>
      </c>
      <c r="F12" t="inlineStr">
        <is>
          <t>Ebuka Obi-Uchendu discusses evolving expectations for fathers by 2025, emphasizing the importance of being present beyond traditional provider roles.</t>
        </is>
      </c>
      <c r="G12"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H12"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c r="I12" t="inlineStr">
        <is>
          <t>English</t>
        </is>
      </c>
    </row>
    <row r="13">
      <c r="A13" t="inlineStr">
        <is>
          <t>EBK_012</t>
        </is>
      </c>
      <c r="B13" t="inlineStr">
        <is>
          <t>Ebuka Obi-Uchendu</t>
        </is>
      </c>
      <c r="C13" t="inlineStr">
        <is>
          <t>YouTube (MENtality podcast — host)</t>
        </is>
      </c>
      <c r="D13" t="inlineStr">
        <is>
          <t>Podcast monologue / framing</t>
        </is>
      </c>
      <c r="E13" t="inlineStr">
        <is>
          <t>https://www.youtube.com/watch?v=f6WW9g5hqLI</t>
        </is>
      </c>
      <c r="F13" t="inlineStr">
        <is>
          <t>Ebuka discusses societal perceptions of men's self-worth tied to income, questioning the direction of the conversation and future actions.</t>
        </is>
      </c>
      <c r="G13"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c r="H13" t="inlineStr">
        <is>
          <t>Here's my problem. My issue with our current conversation is that it's always easy to sit back and point fingers at what's wrong. But if you point your finger at someone, the other fingers are pointing back at you. So where do we go from here? We know that, as things stand, self-worth and how society views men are tied to income, however they got it. The fact is, do you have it or not? So then, where do we go? Do we just stay here?</t>
        </is>
      </c>
      <c r="I13" t="inlineStr">
        <is>
          <t>English</t>
        </is>
      </c>
    </row>
    <row r="14">
      <c r="A14" t="inlineStr">
        <is>
          <t>EBK_013</t>
        </is>
      </c>
      <c r="B14" t="inlineStr">
        <is>
          <t>Ebuka Obi-Uchendu</t>
        </is>
      </c>
      <c r="C14" t="inlineStr">
        <is>
          <t>YouTube (MENtality podcast — host)</t>
        </is>
      </c>
      <c r="D14" t="inlineStr">
        <is>
          <t>Podcast monologue / framing</t>
        </is>
      </c>
      <c r="E14" t="inlineStr">
        <is>
          <t>https://www.youtube.com/watch?v=f6WW9g5hqLI</t>
        </is>
      </c>
      <c r="F14" t="inlineStr">
        <is>
          <t>Ebuka Obi-Uchendu discusses societal perceptions of gender roles in relationships, questioning Noble on feelings about a wife earning more.</t>
        </is>
      </c>
      <c r="G14"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c r="H14" t="inlineStr">
        <is>
          <t>I want to shift the conversation a bit to you, Noble. Since I mentioned relationships and spouses, how do you feel about your wife earning more than you? For a lot of people, it's related to ego. The perception is that men are the breadwinners and are supposed to provide. How would you feel if she did?</t>
        </is>
      </c>
      <c r="I14" t="inlineStr">
        <is>
          <t>English</t>
        </is>
      </c>
    </row>
    <row r="15">
      <c r="A15" t="inlineStr">
        <is>
          <t>EBK_014</t>
        </is>
      </c>
      <c r="B15" t="inlineStr">
        <is>
          <t>Ebuka Obi-Uchendu</t>
        </is>
      </c>
      <c r="C15" t="inlineStr">
        <is>
          <t>YouTube (MENtality podcast — host)</t>
        </is>
      </c>
      <c r="D15" t="inlineStr">
        <is>
          <t>Podcast monologue / framing</t>
        </is>
      </c>
      <c r="E15" t="inlineStr">
        <is>
          <t>https://www.youtube.com/watch?v=f6WW9g5hqLI</t>
        </is>
      </c>
      <c r="F15" t="inlineStr">
        <is>
          <t>Ebuka discusses the influence of religion on Nigerian men's roles, referencing Christianity, Islam, traditional beliefs, and societal expectations on male providers.</t>
        </is>
      </c>
      <c r="G15" t="inlineStr">
        <is>
          <t>So I want to pivot to this religious conversation because religion is very heavy with Nigerians Nigerians go to church, go to the mosque we define Morumila [a traditional Yoruba religion] I don't know how many of you people are traditional Sekuture [a traditional African belief system]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c r="H15" t="inlineStr">
        <is>
          <t>I want to pivot to this religious conversation because religion is very significant in Nigeria. Nigerians go to church and to the mosque. We define Morumila [a traditional Yoruba religion]. I don't know how many of you are familiar with traditional Sekuture [a traditional African belief system]. They say Africa is 50% Christian, 50% Muslim, and 100% traditional. I wanted to discuss this idea that is heavily discussed in Christianity: the man is meant to provide. This idea is often reinforced in congregations, and whether we like it or not, men go home with that mindset, knowing that this is their duty. That's why I was surprised by the polling when I asked about how comfortable you are with your wife earning more than you. Maybe it's what people really feel, but the fact is that religion affects us in this way.</t>
        </is>
      </c>
      <c r="I15" t="inlineStr">
        <is>
          <t>English</t>
        </is>
      </c>
    </row>
    <row r="16">
      <c r="A16" t="inlineStr">
        <is>
          <t>EBK_015</t>
        </is>
      </c>
      <c r="B16" t="inlineStr">
        <is>
          <t>Ebuka Obi-Uchendu</t>
        </is>
      </c>
      <c r="C16" t="inlineStr">
        <is>
          <t>YouTube (MENtality podcast — host)</t>
        </is>
      </c>
      <c r="D16" t="inlineStr">
        <is>
          <t>Podcast monologue / framing</t>
        </is>
      </c>
      <c r="E16" t="inlineStr">
        <is>
          <t>https://www.youtube.com/watch?v=f6WW9g5hqLI</t>
        </is>
      </c>
      <c r="F16" t="inlineStr">
        <is>
          <t>Ebuka Obi-Uchendu discusses Nigerian men's evolving views on breadwinning, noting surprise at their acceptance of wives earning more.</t>
        </is>
      </c>
      <c r="G16"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c r="H16" t="inlineStr">
        <is>
          <t>I think my perspective is quite simple, not even deep at all. I honestly came into this conversation believing that Nigerian men have an ego regarding the breadwinner discussion. It's surprising to me that all four men at the table said they don't care if their wife earns more than them. I'm genuinely impressed by that; it's the one thing that stood out for me. I've told my wife many times, 'If you watch this episode, go out and bring home the money so I can quit.' We're on the same page. I said two things: when I can't provide, my ego is hurt, but that also means there's provision on the other side. It doesn't mean that if I can't provide, there isn't provision from the other side.</t>
        </is>
      </c>
      <c r="I16" t="inlineStr">
        <is>
          <t>English</t>
        </is>
      </c>
    </row>
    <row r="17">
      <c r="A17" t="inlineStr">
        <is>
          <t>EBK_016</t>
        </is>
      </c>
      <c r="B17" t="inlineStr">
        <is>
          <t>Ebuka Obi-Uchendu</t>
        </is>
      </c>
      <c r="C17" t="inlineStr">
        <is>
          <t>YouTube (MENtality podcast — host)</t>
        </is>
      </c>
      <c r="D17" t="inlineStr">
        <is>
          <t>Podcast monologue / framing</t>
        </is>
      </c>
      <c r="E17" t="inlineStr">
        <is>
          <t>https://www.youtube.com/watch?v=f6WW9g5hqLI</t>
        </is>
      </c>
      <c r="F17" t="inlineStr">
        <is>
          <t>Ebuka questions a guest about their painted nails, noting it's not traditionally masculine; potential Nigerian cultural context.</t>
        </is>
      </c>
      <c r="G17" t="inlineStr">
        <is>
          <t>before we continue I want to ask you I want to ask you something can I see your nails because I've been noticing it's not a very masculine thing when did you start painting your nails</t>
        </is>
      </c>
      <c r="H17" t="inlineStr">
        <is>
          <t>before we continue I want to ask you I want to ask you something can I see your nails because I've been noticing it's not a very masculine thing when did you start painting your nails</t>
        </is>
      </c>
      <c r="I17" t="inlineStr">
        <is>
          <t>English</t>
        </is>
      </c>
    </row>
    <row r="18">
      <c r="A18" t="inlineStr">
        <is>
          <t>EBK_017</t>
        </is>
      </c>
      <c r="B18" t="inlineStr">
        <is>
          <t>Ebuka Obi-Uchendu</t>
        </is>
      </c>
      <c r="C18" t="inlineStr">
        <is>
          <t>YouTube (MENtality podcast — host)</t>
        </is>
      </c>
      <c r="D18" t="inlineStr">
        <is>
          <t>Podcast monologue / framing</t>
        </is>
      </c>
      <c r="E18" t="inlineStr">
        <is>
          <t>https://www.youtube.com/watch?v=mU5uAVhVEzA</t>
        </is>
      </c>
      <c r="F18" t="inlineStr">
        <is>
          <t>Ebuka Obi-Uchendu discusses societal pressures on men to hide vulnerabilities, referencing Nigerian culture and male communication norms.</t>
        </is>
      </c>
      <c r="G18"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c r="H18" t="inlineStr">
        <is>
          <t>I think it was my first act of rebellion in life. I was like, okay, so this is how this works, you know? But these are the kinds of things that as a guy, you probably never share with your friends. They would laugh at you. And this is why men don't talk about these things. I guess it's just, you know, I don't know if anyone has personal stories. Maybe not this extreme, but.</t>
        </is>
      </c>
      <c r="I18" t="inlineStr">
        <is>
          <t>English</t>
        </is>
      </c>
    </row>
    <row r="19">
      <c r="A19" t="inlineStr">
        <is>
          <t>EBK_018</t>
        </is>
      </c>
      <c r="B19" t="inlineStr">
        <is>
          <t>Ebuka Obi-Uchendu</t>
        </is>
      </c>
      <c r="C19" t="inlineStr">
        <is>
          <t>YouTube (MENtality podcast — host)</t>
        </is>
      </c>
      <c r="D19" t="inlineStr">
        <is>
          <t>Podcast monologue / framing</t>
        </is>
      </c>
      <c r="E19" t="inlineStr">
        <is>
          <t>https://www.youtube.com/watch?v=mU5uAVhVEzA</t>
        </is>
      </c>
      <c r="F19" t="inlineStr">
        <is>
          <t>Ebuka discusses changing perceptions of male persistence in relationships, contrasting past norms with modern views, including Nigerian cultural references.</t>
        </is>
      </c>
      <c r="G19"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c r="H19" t="inlineStr">
        <is>
          <t>A lot of women believe that not every man is like this. They think men are just wired that way. That's why this conversation is important. I don't know if Bovee has that perspective, but most women just believe men are like that. But maybe it's because we never share our stories. That narrative starts from something; it's always a ripple effect. When you were talking about waiting... There was a time, I believe, maybe in our fathers' era or back in the day, when they would tell you, 'Don't worry, keep being persistent. Be consistent, and she will eventually fall for you.' Today, if you do that, you're called a simp or a creep. It's almost like once they say no, you have to go. But I also said something like that: imagine if he didn't even try. I feel like the dynamics of what it means to be in a relationship, not just dating, is so different now. I don't know if it has changed from when you got married to now, but it feels like it has. Even from our parents' era, the way men are supposed to approach relationships is so different now.</t>
        </is>
      </c>
      <c r="I19" t="inlineStr">
        <is>
          <t>English</t>
        </is>
      </c>
    </row>
    <row r="20">
      <c r="A20" t="inlineStr">
        <is>
          <t>EBK_019</t>
        </is>
      </c>
      <c r="B20" t="inlineStr">
        <is>
          <t>Ebuka Obi-Uchendu</t>
        </is>
      </c>
      <c r="C20" t="inlineStr">
        <is>
          <t>YouTube (MENtality podcast — host)</t>
        </is>
      </c>
      <c r="D20" t="inlineStr">
        <is>
          <t>Podcast monologue / framing</t>
        </is>
      </c>
      <c r="E20" t="inlineStr">
        <is>
          <t>https://www.youtube.com/watch?v=mU5uAVhVEzA</t>
        </is>
      </c>
      <c r="F20" t="inlineStr">
        <is>
          <t>Ebuka discusses evolving gender roles, noting women's increased education and workforce participation, while men's roles remain unchanged; no Pidgin/Yoruba references.</t>
        </is>
      </c>
      <c r="G20"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H20"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I20" t="inlineStr">
        <is>
          <t>English</t>
        </is>
      </c>
    </row>
    <row r="21">
      <c r="A21" t="inlineStr">
        <is>
          <t>EBK_020</t>
        </is>
      </c>
      <c r="B21" t="inlineStr">
        <is>
          <t>Ebuka Obi-Uchendu</t>
        </is>
      </c>
      <c r="C21" t="inlineStr">
        <is>
          <t>YouTube (MENtality podcast — host)</t>
        </is>
      </c>
      <c r="D21" t="inlineStr">
        <is>
          <t>Podcast monologue / framing</t>
        </is>
      </c>
      <c r="E21" t="inlineStr">
        <is>
          <t>https://www.youtube.com/watch?v=mU5uAVhVEzA</t>
        </is>
      </c>
      <c r="F21" t="inlineStr">
        <is>
          <t>Ebuka discusses emasculation and gender roles, questioning if men should defer when women can afford and handle situations better.</t>
        </is>
      </c>
      <c r="G21"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c r="H21" t="inlineStr">
        <is>
          <t>I like the word you used: emasculation, which we've talked about a lot today. How many men can handle it when a woman says, 'Oh, I'm trying to pay for it,' or 'Don't worry, I've got it'? That's not disrespect. But she knows it should be handled, and she can handle it. She's able to afford it more than you are. So my point is, do you have to keep deferring when you know you're making the right decision?</t>
        </is>
      </c>
      <c r="I21" t="inlineStr">
        <is>
          <t>English</t>
        </is>
      </c>
    </row>
    <row r="22">
      <c r="A22" t="inlineStr">
        <is>
          <t>EBK_021</t>
        </is>
      </c>
      <c r="B22" t="inlineStr">
        <is>
          <t>Ebuka Obi-Uchendu</t>
        </is>
      </c>
      <c r="C22" t="inlineStr">
        <is>
          <t>YouTube (MENtality podcast — host)</t>
        </is>
      </c>
      <c r="D22" t="inlineStr">
        <is>
          <t>Podcast monologue / framing</t>
        </is>
      </c>
      <c r="E22" t="inlineStr">
        <is>
          <t>https://www.youtube.com/watch?v=mU5uAVhVEzA</t>
        </is>
      </c>
      <c r="F22" t="inlineStr">
        <is>
          <t>Ebuka discusses the evolving dynamics of gender roles and masculinity as more women earn more than men, seeking thoughts on this shift.</t>
        </is>
      </c>
      <c r="G22"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H22"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I22" t="inlineStr">
        <is>
          <t>English</t>
        </is>
      </c>
    </row>
    <row r="23">
      <c r="A23" t="inlineStr">
        <is>
          <t>EBK_022</t>
        </is>
      </c>
      <c r="B23" t="inlineStr">
        <is>
          <t>Ebuka Obi-Uchendu</t>
        </is>
      </c>
      <c r="C23" t="inlineStr">
        <is>
          <t>YouTube (MENtality podcast — host)</t>
        </is>
      </c>
      <c r="D23" t="inlineStr">
        <is>
          <t>Podcast monologue / framing</t>
        </is>
      </c>
      <c r="E23" t="inlineStr">
        <is>
          <t>https://www.youtube.com/watch?v=XbFCPgdK8QQ</t>
        </is>
      </c>
      <c r="F23" t="inlineStr">
        <is>
          <t>Ebuka Obi-Uchendu discusses concerns about youth isolation, online influences, and toxic masculinity, questioning why boys are drawn into cycles of hate.</t>
        </is>
      </c>
      <c r="G23"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H23"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I23" t="inlineStr">
        <is>
          <t>English</t>
        </is>
      </c>
    </row>
    <row r="24">
      <c r="A24" t="inlineStr">
        <is>
          <t>EBK_023</t>
        </is>
      </c>
      <c r="B24" t="inlineStr">
        <is>
          <t>Ebuka Obi-Uchendu</t>
        </is>
      </c>
      <c r="C24" t="inlineStr">
        <is>
          <t>YouTube (MENtality podcast — host)</t>
        </is>
      </c>
      <c r="D24" t="inlineStr">
        <is>
          <t>Podcast monologue / framing</t>
        </is>
      </c>
      <c r="E24" t="inlineStr">
        <is>
          <t>https://www.youtube.com/watch?v=XbFCPgdK8QQ</t>
        </is>
      </c>
      <c r="F24" t="inlineStr">
        <is>
          <t>Ebuka discusses a boy's withdrawal and potential influence of media on male behavior, noting Nigerian references like Abuja and family dynamics.</t>
        </is>
      </c>
      <c r="G24"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c r="H24" t="inlineStr">
        <is>
          <t>I was like, this boy really adores you. I think you should come to Abuja. He's not talking to us. He comes home from school, goes straight to his room. They open the door and ask, 'What's up?' He says, 'I'm good,' and then they leave, not hearing from him again until the next morning. For about three years, he was just that guy. Thankfully, he's okay now and doing well. But I feel like that's when some people get into that space because they are exposed to media that feeds them ideas about what a man should be. Suddenly, they start hitting their mom, their sister, anyone they come across. And I just wonder why it leads to violence.</t>
        </is>
      </c>
      <c r="I24" t="inlineStr">
        <is>
          <t>English</t>
        </is>
      </c>
    </row>
    <row r="25">
      <c r="A25" t="inlineStr">
        <is>
          <t>EBK_024</t>
        </is>
      </c>
      <c r="B25" t="inlineStr">
        <is>
          <t>Ebuka Obi-Uchendu</t>
        </is>
      </c>
      <c r="C25" t="inlineStr">
        <is>
          <t>YouTube (MENtality podcast — host)</t>
        </is>
      </c>
      <c r="D25" t="inlineStr">
        <is>
          <t>Podcast monologue / framing</t>
        </is>
      </c>
      <c r="E25" t="inlineStr">
        <is>
          <t>https://www.youtube.com/watch?v=XbFCPgdK8QQ</t>
        </is>
      </c>
      <c r="F25" t="inlineStr">
        <is>
          <t>Ebuka discusses breaking harmful cycles, like domestic violence or womanizing, to positively influence his sons' views on treating women.</t>
        </is>
      </c>
      <c r="G25"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c r="H25" t="inlineStr">
        <is>
          <t>We use the word trauma a lot, but anything that may have caused me harm, hurt, or pain that I saw, witnessed, or experienced, I don't want that cycle to repeat with my children. The dangerous thing about cycles is that you can either learn from them and break them, or you can repeat them if you're not intentional about it. If you witnessed domestic violence as a child, there's a very good chance you'll be tempted to repeat that cycle. If your father was a womanizer, there's a good chance you may try to repeat that same pattern. So when I think of my sons at this age, it's really about what I show them. I'm intentional about asking myself how I want them to see how a woman is treated.</t>
        </is>
      </c>
      <c r="I25" t="inlineStr">
        <is>
          <t>English</t>
        </is>
      </c>
    </row>
    <row r="26">
      <c r="A26" t="inlineStr">
        <is>
          <t>EBK_025</t>
        </is>
      </c>
      <c r="B26" t="inlineStr">
        <is>
          <t>Ebuka Obi-Uchendu</t>
        </is>
      </c>
      <c r="C26" t="inlineStr">
        <is>
          <t>YouTube (MENtality podcast — host)</t>
        </is>
      </c>
      <c r="D26" t="inlineStr">
        <is>
          <t>Podcast monologue / framing</t>
        </is>
      </c>
      <c r="E26" t="inlineStr">
        <is>
          <t>https://www.youtube.com/watch?v=XbFCPgdK8QQ</t>
        </is>
      </c>
      <c r="F26" t="inlineStr">
        <is>
          <t>Ebuka prioritizes his wife by greeting her first, ensuring children see a harmonious marriage without witnessing parental conflicts.</t>
        </is>
      </c>
      <c r="G26"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c r="H26" t="inlineStr">
        <is>
          <t>And that extends to how I treat my wife. When I walk into a room, my kids may want to run and embrace me, but they see me make a beeline for my wife first and kiss her. They need to know that I prioritize my wife. Then I'll pick them up and hug them. Please don't be upset. Just little things like that. My kids have never seen me and my wife fight. We have a rule that if we need to discuss something intense, it will never happen in front of our children. We want them to have the picture of a healthy, happy home.</t>
        </is>
      </c>
      <c r="I26" t="inlineStr">
        <is>
          <t>English</t>
        </is>
      </c>
    </row>
    <row r="27">
      <c r="A27" t="inlineStr">
        <is>
          <t>EBK_026</t>
        </is>
      </c>
      <c r="B27" t="inlineStr">
        <is>
          <t>Ebuka Obi-Uchendu</t>
        </is>
      </c>
      <c r="C27" t="inlineStr">
        <is>
          <t>YouTube (MENtality podcast — host)</t>
        </is>
      </c>
      <c r="D27" t="inlineStr">
        <is>
          <t>Podcast monologue / framing</t>
        </is>
      </c>
      <c r="E27" t="inlineStr">
        <is>
          <t>https://www.youtube.com/watch?v=XbFCPgdK8QQ</t>
        </is>
      </c>
      <c r="F27" t="inlineStr">
        <is>
          <t>Ebuka discusses a Twitter movement led by 'Agba [Elder] John Doe,' critiquing its misogynistic undertones despite claims of non-patriarchy, with followers called 'Agbafians.'</t>
        </is>
      </c>
      <c r="G27" t="inlineStr">
        <is>
          <t>Have you ever heard of them? Yeah. It's an entire movement on Twitter led by some guy called Agba [Elder] John Doe. It's funny, but it's not. It's funny, but it's not. Agba [Elder]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c r="H27" t="inlineStr">
        <is>
          <t>Have you ever heard of them? Yeah. It's an entire movement on Twitter led by a guy called Agba [Elder] John Doe. It's funny, but it's not. Agba [Elder] the unknown. John Doe. And his followers call themselves Agbafians. Interestingly, there are also women who follow. The entire premise is that he claims he's not misogynistic or patriarchal, but from his tweets and the things that are said, you can tell. It's almost always this constant needling that either you don't need a woman or that women are the problem, which is a recurring theme. You might come for me after seeing this, but that's just the reality. I don't want to give anyone publicity, but there's a particular handle that is very prominent on Twitter. Let me just give you an example of what it is.</t>
        </is>
      </c>
      <c r="I27" t="inlineStr">
        <is>
          <t>English</t>
        </is>
      </c>
    </row>
    <row r="28">
      <c r="A28" t="inlineStr">
        <is>
          <t>EBK_027</t>
        </is>
      </c>
      <c r="B28" t="inlineStr">
        <is>
          <t>Ebuka Obi-Uchendu</t>
        </is>
      </c>
      <c r="C28" t="inlineStr">
        <is>
          <t>YouTube (MENtality podcast — host)</t>
        </is>
      </c>
      <c r="D28" t="inlineStr">
        <is>
          <t>Podcast monologue / framing</t>
        </is>
      </c>
      <c r="E28" t="inlineStr">
        <is>
          <t>https://www.youtube.com/watch?v=XbFCPgdK8QQ</t>
        </is>
      </c>
      <c r="F28" t="inlineStr">
        <is>
          <t>Ebuka discusses gender imbalance, men's lack of education and role models, and challenges educated women face in finding partners, referencing Nigerian societal issues.</t>
        </is>
      </c>
      <c r="G28"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c r="H28" t="inlineStr">
        <is>
          <t>12 to one. 12 women to one man. Which is insane when you think about it because, first of all, what is happening to this generation of men who are just lost? They're not getting educated, empowered, or exposed to great role models of what masculinity or being a man is supposed to look like. Secondly, who are all these educated, empowered women going to marry? Who will they end up with? Those choices are getting slimmer. And then you have this situation we're discussing today, where even men are in this in-cell space, becoming more closed off and saying, 'You know, women are the problem.' They're looking for answers anywhere. So what do we do? It's crazy now.</t>
        </is>
      </c>
      <c r="I28" t="inlineStr">
        <is>
          <t>English</t>
        </is>
      </c>
    </row>
    <row r="29">
      <c r="A29" t="inlineStr">
        <is>
          <t>EBK_028</t>
        </is>
      </c>
      <c r="B29" t="inlineStr">
        <is>
          <t>Ebuka Obi-Uchendu</t>
        </is>
      </c>
      <c r="C29" t="inlineStr">
        <is>
          <t>YouTube (MENtality podcast — host)</t>
        </is>
      </c>
      <c r="D29" t="inlineStr">
        <is>
          <t>Podcast monologue / framing</t>
        </is>
      </c>
      <c r="E29" t="inlineStr">
        <is>
          <t>https://www.youtube.com/watch?v=XbFCPgdK8QQ</t>
        </is>
      </c>
      <c r="F29" t="inlineStr">
        <is>
          <t>Ebuka discusses the importance of role models for young Nigerian men, referencing father-son dynamics and his work with youth.</t>
        </is>
      </c>
      <c r="G29"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c r="H29" t="inlineStr">
        <is>
          <t>I think I'm going to end this on two notes. First of all, building on what you said, a lot of what I see happening is a lack of proper role models. There are many young boys or young men looking for inspiration, and they will seek it wherever they can find it. Sometimes they just don't find it and end up doing whatever they want. So I think a lot of what I've gathered from our discussion today is that whether it's your father and how he raised you or you and how you're raising your son, there seems to be a consensus that there needs to be a visual representation of what is coming or what you're preparing these boys for. I worry a lot, but I've also been very cautious, I guess, because of the spaces I work in; I work with a lot of young people.</t>
        </is>
      </c>
      <c r="I29" t="inlineStr">
        <is>
          <t>English</t>
        </is>
      </c>
    </row>
    <row r="30">
      <c r="A30" t="inlineStr">
        <is>
          <t>EBK_029</t>
        </is>
      </c>
      <c r="B30" t="inlineStr">
        <is>
          <t>Ebuka Obi-Uchendu</t>
        </is>
      </c>
      <c r="C30" t="inlineStr">
        <is>
          <t>YouTube (MENtality podcast — host)</t>
        </is>
      </c>
      <c r="D30" t="inlineStr">
        <is>
          <t>Podcast monologue / framing</t>
        </is>
      </c>
      <c r="E30" t="inlineStr">
        <is>
          <t>https://www.youtube.com/watch?v=XbFCPgdK8QQ</t>
        </is>
      </c>
      <c r="F30" t="inlineStr">
        <is>
          <t>Ebuka Obi-Uchendu discusses generational differences in communication, emphasizing mentorship's importance and questioning traditional gender roles in raising boys.</t>
        </is>
      </c>
      <c r="G30"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c r="H30" t="inlineStr">
        <is>
          <t>And one thing I've learned is that they don't like to be talked to or talked at; they prefer to be talked with. We didn't like being talked to, but we accepted it because we had no options. This generation resents that. I've been trying to be careful about how we address this, just to be sure. Generally, I feel mentorship is very important, and we need to take it more seriously. So, to parents out there, if you don't have the time to be a mentor or role model, you need to find a way for your sons, especially, to find that in their lives. Secondly, building on what Aike said, should we be raising boys as boys or as humans?</t>
        </is>
      </c>
      <c r="I30" t="inlineStr">
        <is>
          <t>English</t>
        </is>
      </c>
    </row>
    <row r="31">
      <c r="A31" t="inlineStr">
        <is>
          <t>EBK_030</t>
        </is>
      </c>
      <c r="B31" t="inlineStr">
        <is>
          <t>Ebuka Obi-Uchendu</t>
        </is>
      </c>
      <c r="C31" t="inlineStr">
        <is>
          <t>YouTube (MENtality podcast — host)</t>
        </is>
      </c>
      <c r="D31" t="inlineStr">
        <is>
          <t>Podcast monologue / framing</t>
        </is>
      </c>
      <c r="E31" t="inlineStr">
        <is>
          <t>https://www.youtube.com/watch?v=7uLzlPGsiVo</t>
        </is>
      </c>
      <c r="F31" t="inlineStr">
        <is>
          <t>Ebuka discusses cultural pressure on Nigerian men to marry, referencing societal expectations and family pressure, with mentions of Pidgin and Nigerian norms.</t>
        </is>
      </c>
      <c r="G31"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[ah, an expression of surprise], you never married [you haven't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H31"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[ah, an expression of surprise], you never married [you haven't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I31" t="inlineStr">
        <is>
          <t>English</t>
        </is>
      </c>
    </row>
    <row r="32">
      <c r="A32" t="inlineStr">
        <is>
          <t>EBK_031</t>
        </is>
      </c>
      <c r="B32" t="inlineStr">
        <is>
          <t>Ebuka Obi-Uchendu</t>
        </is>
      </c>
      <c r="C32" t="inlineStr">
        <is>
          <t>YouTube (MENtality podcast — host)</t>
        </is>
      </c>
      <c r="D32" t="inlineStr">
        <is>
          <t>Podcast monologue / framing</t>
        </is>
      </c>
      <c r="E32" t="inlineStr">
        <is>
          <t>https://www.youtube.com/watch?v=7uLzlPGsiVo</t>
        </is>
      </c>
      <c r="F32" t="inlineStr">
        <is>
          <t>Ebuka Obi-Uchendu discusses men's perspectives on economic power balance in relationships, focusing on ego and financial roles in marriage.</t>
        </is>
      </c>
      <c r="G32"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c r="H32" t="inlineStr">
        <is>
          <t>People have your answer. Stand your ground if you don't want to. I'm curious about this; we've discussed it, and it's one of the biggest points of contention when men talk about relationships—the economic power balance between men and women. We've had conversations about being providers, and I'm ready to be provided for; what about you guys? But how much does that factor into your marriage or relationships before marriage? It does affect the decision to get married. Like you said, it's interesting that you didn't think you were financially ready yet. What happens, God forbid, if things change? How does your ego handle a situation where you are no longer the primary provider in the relationship? Or even if you're still doing well, but she has now become the main provider? How does that work with your ego?</t>
        </is>
      </c>
      <c r="I32" t="inlineStr">
        <is>
          <t>English</t>
        </is>
      </c>
    </row>
    <row r="33">
      <c r="A33" t="inlineStr">
        <is>
          <t>EBK_032</t>
        </is>
      </c>
      <c r="B33" t="inlineStr">
        <is>
          <t>Ebuka Obi-Uchendu</t>
        </is>
      </c>
      <c r="C33" t="inlineStr">
        <is>
          <t>YouTube (MENtality podcast — host)</t>
        </is>
      </c>
      <c r="D33" t="inlineStr">
        <is>
          <t>Podcast monologue / framing</t>
        </is>
      </c>
      <c r="E33" t="inlineStr">
        <is>
          <t>https://www.youtube.com/watch?v=7uLzlPGsiVo</t>
        </is>
      </c>
      <c r="F33" t="inlineStr">
        <is>
          <t>Ebuka discusses household roles, unspoken task division with his wife, and societal perceptions of male ego and female breadwinners in Nigerian homes.</t>
        </is>
      </c>
      <c r="G33"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c r="H33" t="inlineStr">
        <is>
          <t>I joke a lot about wanting to be a househusband, but to be fair, my household is kind of like yours. I do a lot, but my wife also handles many things. It was unspoken; we just fell into certain roles. You mentioned weddings and how life was; many men are going through that but don't realize it. Statistics show that in many homes, the mothers are actually the breadwinners, but people don't talk about it enough. It often comes down to the man's ego, as wives tend to protect that information to avoid their husbands being seen in a certain light.</t>
        </is>
      </c>
      <c r="I33" t="inlineStr">
        <is>
          <t>English</t>
        </is>
      </c>
    </row>
    <row r="34">
      <c r="A34" t="inlineStr">
        <is>
          <t>EBK_033</t>
        </is>
      </c>
      <c r="B34" t="inlineStr">
        <is>
          <t>Ebuka Obi-Uchendu</t>
        </is>
      </c>
      <c r="C34" t="inlineStr">
        <is>
          <t>YouTube (MENtality podcast — host)</t>
        </is>
      </c>
      <c r="D34" t="inlineStr">
        <is>
          <t>Podcast monologue / framing</t>
        </is>
      </c>
      <c r="E34" t="inlineStr">
        <is>
          <t>https://www.youtube.com/watch?v=7uLzlPGsiVo</t>
        </is>
      </c>
      <c r="F34" t="inlineStr">
        <is>
          <t>Ebuka Obi-Uchendu questions if the perception of Nigerian men as ego-driven and flashy is accurate or if it's changing, noting cultural stereotypes.</t>
        </is>
      </c>
      <c r="G34"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c r="H34" t="inlineStr">
        <is>
          <t>We seem to have a lot of very understanding men at this table, who can check their egos. However, the general perception— and I emphasize 'general'— is that Nigerian men are not like that. Nigerian men have egos; they want to show off their money and impress others. They want their wives to walk into a room and make an impression because of what they've achieved. So, how do you get to this point? Is this the exception? Is the general perception wrong? Is this the exception? Is this the vibe you think Nigerian men have? If not, what are you doing differently? I'm curious why there's a belief that we're like that when I don't hear any of it here. I'm thinking about it, and I'm not sure I have the answer. Is it slowly shifting, and we just don't know?</t>
        </is>
      </c>
      <c r="I34" t="inlineStr">
        <is>
          <t>English</t>
        </is>
      </c>
    </row>
    <row r="35">
      <c r="A35" t="inlineStr">
        <is>
          <t>EBK_034</t>
        </is>
      </c>
      <c r="B35" t="inlineStr">
        <is>
          <t>Ebuka Obi-Uchendu</t>
        </is>
      </c>
      <c r="C35" t="inlineStr">
        <is>
          <t>YouTube (MENtality podcast — host)</t>
        </is>
      </c>
      <c r="D35" t="inlineStr">
        <is>
          <t>Podcast monologue / framing</t>
        </is>
      </c>
      <c r="E35" t="inlineStr">
        <is>
          <t>https://www.youtube.com/watch?v=7uLzlPGsiVo</t>
        </is>
      </c>
      <c r="F35" t="inlineStr">
        <is>
          <t>Ebuka Obi-Uchendu reflects on his upbringing with traditional Igbo [Igbo, an ethnic group in Nigeria] values, noting his parents' roles and his surprise at gender role stereotypes.</t>
        </is>
      </c>
      <c r="G3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H35" t="inlineStr">
        <is>
          <t>Sometimes it's not even necessarily about that. I'm reflecting on my own upbringing. A lot of it came from my home, and I don't think my parents were intentionally trying to instill anything. My dad is very traditional and conservative, an Igbo chief who works with the central bank. He was able to take care of everything. My mom was a nurse, a matron in a large hospital, and he was okay with her working. I grew up seeing that. Honestly, it was strange to me when I heard people say things like 'a woman's place.' It felt odd, especially for someone born in the 80s, because my mom went to work.</t>
        </is>
      </c>
      <c r="I35" t="inlineStr">
        <is>
          <t>English</t>
        </is>
      </c>
    </row>
    <row r="36">
      <c r="A36" t="inlineStr">
        <is>
          <t>EBK_035</t>
        </is>
      </c>
      <c r="B36" t="inlineStr">
        <is>
          <t>Ebuka Obi-Uchendu</t>
        </is>
      </c>
      <c r="C36" t="inlineStr">
        <is>
          <t>YouTube (MENtality podcast — host)</t>
        </is>
      </c>
      <c r="D36" t="inlineStr">
        <is>
          <t>Podcast monologue / framing</t>
        </is>
      </c>
      <c r="E36" t="inlineStr">
        <is>
          <t>https://www.youtube.com/watch?v=7uLzlPGsiVo</t>
        </is>
      </c>
      <c r="F36" t="inlineStr">
        <is>
          <t>Ebuka Obi-Uchendu discusses societal expectations in Nigeria regarding dating and marriage, questioning why 'wild era' partners aren't considered marriage material.</t>
        </is>
      </c>
      <c r="G36"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H36"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I36" t="inlineStr">
        <is>
          <t>English</t>
        </is>
      </c>
    </row>
    <row r="37">
      <c r="A37" t="inlineStr">
        <is>
          <t>EBK_036</t>
        </is>
      </c>
      <c r="B37" t="inlineStr">
        <is>
          <t>Ebuka Obi-Uchendu</t>
        </is>
      </c>
      <c r="C37" t="inlineStr">
        <is>
          <t>YouTube (MENtality podcast — host)</t>
        </is>
      </c>
      <c r="D37" t="inlineStr">
        <is>
          <t>Podcast monologue / framing</t>
        </is>
      </c>
      <c r="E37" t="inlineStr">
        <is>
          <t>https://www.youtube.com/watch?v=7uLzlPGsiVo</t>
        </is>
      </c>
      <c r="F37" t="inlineStr">
        <is>
          <t>Ebuka discusses the Twitter debate over Temi Otodola taking her husband's name, highlighting gender divides and cultural expectations in Nigeria.</t>
        </is>
      </c>
      <c r="G37"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H37"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I37" t="inlineStr">
        <is>
          <t>English</t>
        </is>
      </c>
    </row>
    <row r="38">
      <c r="A38" t="inlineStr">
        <is>
          <t>EBK_037</t>
        </is>
      </c>
      <c r="B38" t="inlineStr">
        <is>
          <t>Ebuka Obi-Uchendu</t>
        </is>
      </c>
      <c r="C38" t="inlineStr">
        <is>
          <t>YouTube (MENtality podcast — host)</t>
        </is>
      </c>
      <c r="D38" t="inlineStr">
        <is>
          <t>Podcast monologue / framing</t>
        </is>
      </c>
      <c r="E38" t="inlineStr">
        <is>
          <t>https://www.youtube.com/watch?v=7uLzlPGsiVo</t>
        </is>
      </c>
      <c r="F38" t="inlineStr">
        <is>
          <t>Ebuka Obi-Uchendu discusses self-awareness, masculinity, and marriage dynamics, highlighting diverse representations and personal experiences in relationships.</t>
        </is>
      </c>
      <c r="G38"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H38"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I38" t="inlineStr">
        <is>
          <t>English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content_id</t>
        </is>
      </c>
      <c r="B1" s="1" t="inlineStr">
        <is>
          <t>creator</t>
        </is>
      </c>
      <c r="C1" s="1" t="inlineStr">
        <is>
          <t>platform</t>
        </is>
      </c>
      <c r="D1" s="1" t="inlineStr">
        <is>
          <t>content_type</t>
        </is>
      </c>
      <c r="E1" s="1" t="inlineStr">
        <is>
          <t>source_url</t>
        </is>
      </c>
      <c r="F1" s="1" t="inlineStr">
        <is>
          <t>context</t>
        </is>
      </c>
      <c r="G1" s="1" t="inlineStr">
        <is>
          <t>text_original</t>
        </is>
      </c>
      <c r="H1" s="1" t="inlineStr">
        <is>
          <t>text_english</t>
        </is>
      </c>
      <c r="I1" s="1" t="inlineStr">
        <is>
          <t>language_detected</t>
        </is>
      </c>
    </row>
    <row r="2">
      <c r="A2" t="inlineStr">
        <is>
          <t>SHO_001</t>
        </is>
      </c>
      <c r="B2" t="inlineStr">
        <is>
          <t>Shola</t>
        </is>
      </c>
      <c r="C2" t="inlineStr">
        <is>
          <t>X</t>
        </is>
      </c>
      <c r="D2" t="inlineStr">
        <is>
          <t>Tweet</t>
        </is>
      </c>
      <c r="E2">
        <f>HYPERLINK("https://x.com/itsSh0la/status/1664024839475335168","https://x.com/itsSh0la/status/1664024839475335168")</f>
        <v/>
      </c>
      <c r="F2" t="inlineStr">
        <is>
          <t>Shola dismisses the need for pick-up lines, suggesting women are not difficult to approach and emphasizing straightforwardness.</t>
        </is>
      </c>
      <c r="G2" t="inlineStr">
        <is>
          <t>@Tuneezi_Fundz Fvck pick up lines bro, women aren't that hard. You'd end up looking like a joke.</t>
        </is>
      </c>
      <c r="H2" t="inlineStr">
        <is>
          <t>@Tuneezi_Fundz Forget pick-up lines, bro. Women aren't that complicated. You'd just end up looking like a joke.</t>
        </is>
      </c>
      <c r="I2" t="inlineStr">
        <is>
          <t>Mixed (Pidgin + English)</t>
        </is>
      </c>
    </row>
    <row r="3">
      <c r="A3" t="inlineStr">
        <is>
          <t>SHO_002</t>
        </is>
      </c>
      <c r="B3" t="inlineStr">
        <is>
          <t>Shola</t>
        </is>
      </c>
      <c r="C3" t="inlineStr">
        <is>
          <t>X</t>
        </is>
      </c>
      <c r="D3" t="inlineStr">
        <is>
          <t>Tweet</t>
        </is>
      </c>
      <c r="E3">
        <f>HYPERLINK("https://x.com/itsSh0la/status/1664019236597932032","https://x.com/itsSh0la/status/1664019236597932032")</f>
        <v/>
      </c>
      <c r="F3" t="inlineStr">
        <is>
          <t>Shola encourages men to improve social skills by interacting with women without commitment.</t>
        </is>
      </c>
      <c r="G3" t="inlineStr">
        <is>
          <t>Some days, just go outside, talk to new women, exchange contacts, improve your social skills, you don't necessarily have to call them after.</t>
        </is>
      </c>
      <c r="H3" t="inlineStr">
        <is>
          <t>Some days, just go outside, talk to new women, exchange contacts, improve your social skills, you don't necessarily have to call them after.</t>
        </is>
      </c>
      <c r="I3" t="inlineStr">
        <is>
          <t>English</t>
        </is>
      </c>
    </row>
    <row r="4">
      <c r="A4" t="inlineStr">
        <is>
          <t>SHO_003</t>
        </is>
      </c>
      <c r="B4" t="inlineStr">
        <is>
          <t>Shola</t>
        </is>
      </c>
      <c r="C4" t="inlineStr">
        <is>
          <t>X</t>
        </is>
      </c>
      <c r="D4" t="inlineStr">
        <is>
          <t>Tweet</t>
        </is>
      </c>
      <c r="E4">
        <f>HYPERLINK("https://x.com/itsSh0la/status/1663625331905904641","https://x.com/itsSh0la/status/1663625331905904641")</f>
        <v/>
      </c>
      <c r="F4" t="inlineStr">
        <is>
          <t>Shola mocks men who work hard to win over women who previously rejected them, suggesting they need help.</t>
        </is>
      </c>
      <c r="G4" t="inlineStr">
        <is>
          <t>There is a finished man out there working so hard to get rich so he can get that chic that rejected him, seek help man!!!</t>
        </is>
      </c>
      <c r="H4" t="inlineStr">
        <is>
          <t>There is a man out there working hard to get rich so he can win over the woman who rejected him. Seek help, man!</t>
        </is>
      </c>
      <c r="I4" t="inlineStr">
        <is>
          <t>English</t>
        </is>
      </c>
    </row>
    <row r="5">
      <c r="A5" t="inlineStr">
        <is>
          <t>SHO_004</t>
        </is>
      </c>
      <c r="B5" t="inlineStr">
        <is>
          <t>Shola</t>
        </is>
      </c>
      <c r="C5" t="inlineStr">
        <is>
          <t>X</t>
        </is>
      </c>
      <c r="D5" t="inlineStr">
        <is>
          <t>Tweet</t>
        </is>
      </c>
      <c r="E5">
        <f>HYPERLINK("https://x.com/itsSh0la/status/1662863528896745472","https://x.com/itsSh0la/status/1662863528896745472")</f>
        <v/>
      </c>
      <c r="F5" t="inlineStr">
        <is>
          <t>Shola critiques women's claims about dressing for themselves, suggesting hypocrisy when it comes to protecting their relationships.</t>
        </is>
      </c>
      <c r="G5" t="inlineStr">
        <is>
          <t>Every woman claims not to wear revealing clothes for men, but to feel good about themselves. Until a friend of hers visits her matrimonial home dressed to feel good about herself as well and all of a sudden she'd claim she wants to steaI her man.</t>
        </is>
      </c>
      <c r="H5" t="inlineStr">
        <is>
          <t>Every woman claims she doesn't wear revealing clothes for men, but to feel good about herself. Until a friend visits her home dressed to feel good about herself too, and suddenly she claims she wants to steal her man.</t>
        </is>
      </c>
      <c r="I5" t="inlineStr">
        <is>
          <t>English</t>
        </is>
      </c>
    </row>
    <row r="6">
      <c r="A6" t="inlineStr">
        <is>
          <t>SHO_005</t>
        </is>
      </c>
      <c r="B6" t="inlineStr">
        <is>
          <t>Shola</t>
        </is>
      </c>
      <c r="C6" t="inlineStr">
        <is>
          <t>X</t>
        </is>
      </c>
      <c r="D6" t="inlineStr">
        <is>
          <t>Tweet</t>
        </is>
      </c>
      <c r="E6">
        <f>HYPERLINK("https://x.com/itsSh0la/status/1662499938104754176","https://x.com/itsSh0la/status/1662499938104754176")</f>
        <v/>
      </c>
      <c r="F6" t="inlineStr">
        <is>
          <t>Shola dismisses 'nice guys' as lacking options and self-respect, critiquing their motivations in dating.</t>
        </is>
      </c>
      <c r="G6" t="inlineStr">
        <is>
          <t>Nice guys are just horny guys without options who have a lot of time(close to jobless) and lack self respect.</t>
        </is>
      </c>
      <c r="H6" t="inlineStr">
        <is>
          <t>Nice guys are just horny guys without options who have a lot of time(close to jobless) and lack self respect.</t>
        </is>
      </c>
      <c r="I6" t="inlineStr">
        <is>
          <t>English</t>
        </is>
      </c>
    </row>
    <row r="7">
      <c r="A7" t="inlineStr">
        <is>
          <t>SHO_006</t>
        </is>
      </c>
      <c r="B7" t="inlineStr">
        <is>
          <t>Shola</t>
        </is>
      </c>
      <c r="C7" t="inlineStr">
        <is>
          <t>X</t>
        </is>
      </c>
      <c r="D7" t="inlineStr">
        <is>
          <t>Tweet</t>
        </is>
      </c>
      <c r="E7">
        <f>HYPERLINK("https://x.com/itsSh0la/status/1662402106442104832","https://x.com/itsSh0la/status/1662402106442104832")</f>
        <v/>
      </c>
      <c r="F7" t="inlineStr">
        <is>
          <t>Shola warns men about the financial and life-altering consequences of unplanned fatherhood when not financially prepared.</t>
        </is>
      </c>
      <c r="G7" t="inlineStr">
        <is>
          <t>Unless you're a rich guy, getting a girl pregnant when you're broke and not ready can halt everything and flip your life upside down. You'd most likely live an average life for the rest of your life, and mess up your journey. You gotta be careful.</t>
        </is>
      </c>
      <c r="H7" t="inlineStr">
        <is>
          <t>Unless you're a rich guy, getting a girl pregnant when you're broke and not ready can halt everything and flip your life upside down. You'd most likely live an average life for the rest of your life, and mess up your journey. You gotta be careful.</t>
        </is>
      </c>
      <c r="I7" t="inlineStr">
        <is>
          <t>English</t>
        </is>
      </c>
    </row>
    <row r="8">
      <c r="A8" t="inlineStr">
        <is>
          <t>SHO_007</t>
        </is>
      </c>
      <c r="B8" t="inlineStr">
        <is>
          <t>Shola</t>
        </is>
      </c>
      <c r="C8" t="inlineStr">
        <is>
          <t>X</t>
        </is>
      </c>
      <c r="D8" t="inlineStr">
        <is>
          <t>Tweet</t>
        </is>
      </c>
      <c r="E8">
        <f>HYPERLINK("https://x.com/itsSh0la/status/1662139482320125979","https://x.com/itsSh0la/status/1662139482320125979")</f>
        <v/>
      </c>
      <c r="F8" t="inlineStr">
        <is>
          <t>Shola advises men not to double text women who ignore their initial message, implying a lack of interest.</t>
        </is>
      </c>
      <c r="G8" t="inlineStr">
        <is>
          <t>She saw the first text, she's not busy, she doesn't rate you. Don't double text her.</t>
        </is>
      </c>
      <c r="H8" t="inlineStr">
        <is>
          <t>She saw the first text; she's not busy, she just doesn't value you. Don't double text her.</t>
        </is>
      </c>
      <c r="I8" t="inlineStr">
        <is>
          <t>English</t>
        </is>
      </c>
    </row>
    <row r="9">
      <c r="A9" t="inlineStr">
        <is>
          <t>SHO_008</t>
        </is>
      </c>
      <c r="B9" t="inlineStr">
        <is>
          <t>Shola</t>
        </is>
      </c>
      <c r="C9" t="inlineStr">
        <is>
          <t>X</t>
        </is>
      </c>
      <c r="D9" t="inlineStr">
        <is>
          <t>Tweet</t>
        </is>
      </c>
      <c r="E9">
        <f>HYPERLINK("https://x.com/itsSh0la/status/1661717784420655104","https://x.com/itsSh0la/status/1661717784420655104")</f>
        <v/>
      </c>
      <c r="F9" t="inlineStr">
        <is>
          <t>Shola suggests men become more valuable with age and should focus on building wealth before relationships.</t>
        </is>
      </c>
      <c r="G9" t="inlineStr">
        <is>
          <t>Also, your options of women increases the more valuable you become. You're a man, you still got time, a lot of it. Your prime race begins in your 30s, men age like wine, so there's really no reason to rush, you ain't losing out at the end. Build first.</t>
        </is>
      </c>
      <c r="H9" t="inlineStr">
        <is>
          <t>Also, your options for women increase the more valuable you become. As a man, you still have time— a lot of it. Your prime years begin in your 30s; men age like fine wine, so there's really no reason to rush. You're not missing out in the end. Build first.</t>
        </is>
      </c>
      <c r="I9" t="inlineStr">
        <is>
          <t>English</t>
        </is>
      </c>
    </row>
    <row r="10">
      <c r="A10" t="inlineStr">
        <is>
          <t>SHO_009</t>
        </is>
      </c>
      <c r="B10" t="inlineStr">
        <is>
          <t>Shola</t>
        </is>
      </c>
      <c r="C10" t="inlineStr">
        <is>
          <t>X</t>
        </is>
      </c>
      <c r="D10" t="inlineStr">
        <is>
          <t>Tweet</t>
        </is>
      </c>
      <c r="E10">
        <f>HYPERLINK("https://x.com/itsSh0la/status/1661677741761089540","https://x.com/itsSh0la/status/1661677741761089540")</f>
        <v/>
      </c>
      <c r="F10" t="inlineStr">
        <is>
          <t>Shola tells broke men to focus on fighting poverty and getting priorities right before pursuing relationships.</t>
        </is>
      </c>
      <c r="G10" t="inlineStr">
        <is>
          <t>As a broke man who's yet to figure life out, leave relationship alone, it isn't running anywhere. Go and fight poverty, get your priorities right.</t>
        </is>
      </c>
      <c r="H10" t="inlineStr">
        <is>
          <t>As a broke man who's yet to figure life out, leave relationship alone, it isn't running anywhere. Go and fight poverty, get your priorities right.</t>
        </is>
      </c>
      <c r="I10" t="inlineStr">
        <is>
          <t>English</t>
        </is>
      </c>
    </row>
    <row r="11">
      <c r="A11" t="inlineStr">
        <is>
          <t>SHO_010</t>
        </is>
      </c>
      <c r="B11" t="inlineStr">
        <is>
          <t>Shola</t>
        </is>
      </c>
      <c r="C11" t="inlineStr">
        <is>
          <t>X</t>
        </is>
      </c>
      <c r="D11" t="inlineStr">
        <is>
          <t>Tweet</t>
        </is>
      </c>
      <c r="E11">
        <f>HYPERLINK("https://x.com/itsSh0la/status/1652790345598418944","https://x.com/itsSh0la/status/1652790345598418944")</f>
        <v/>
      </c>
      <c r="F11" t="inlineStr">
        <is>
          <t>Shola prefers meeting women in person for spontaneity and reading body language, suggesting traditional dating values.</t>
        </is>
      </c>
      <c r="G11" t="inlineStr">
        <is>
          <t>@_AsiwajuLerry Fact, I think one of the reasons I prefer meeting women in person is for the fact that you can always be spontaneous with it, read body language easily, you can even tell if a woman is feeling you just from having a 10-20 minutes talk.</t>
        </is>
      </c>
      <c r="H11" t="inlineStr">
        <is>
          <t>@_AsiwajuLerry Fact, I think one of the reasons I prefer meeting women in person is for the fact that you can always be spontaneous with it, read body language easily, you can even tell if a woman is feeling you just from having a 10-20 minutes talk.</t>
        </is>
      </c>
      <c r="I11" t="inlineStr">
        <is>
          <t>English</t>
        </is>
      </c>
    </row>
    <row r="12">
      <c r="A12" t="inlineStr">
        <is>
          <t>SHO_011</t>
        </is>
      </c>
      <c r="B12" t="inlineStr">
        <is>
          <t>Shola</t>
        </is>
      </c>
      <c r="C12" t="inlineStr">
        <is>
          <t>X</t>
        </is>
      </c>
      <c r="D12" t="inlineStr">
        <is>
          <t>Tweet</t>
        </is>
      </c>
      <c r="E12">
        <f>HYPERLINK("https://x.com/itsSh0la/status/1652785564301635587","https://x.com/itsSh0la/status/1652785564301635587")</f>
        <v/>
      </c>
      <c r="F12" t="inlineStr">
        <is>
          <t>Shola discusses the dynamics of online interactions, emphasizing confidence and criticizing 'simping' in direct messages.</t>
        </is>
      </c>
      <c r="G12"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H12"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I12" t="inlineStr">
        <is>
          <t>English</t>
        </is>
      </c>
    </row>
    <row r="13">
      <c r="A13" t="inlineStr">
        <is>
          <t>SHO_012</t>
        </is>
      </c>
      <c r="B13" t="inlineStr">
        <is>
          <t>Shola</t>
        </is>
      </c>
      <c r="C13" t="inlineStr">
        <is>
          <t>X</t>
        </is>
      </c>
      <c r="D13" t="inlineStr">
        <is>
          <t>Tweet</t>
        </is>
      </c>
      <c r="E13">
        <f>HYPERLINK("https://x.com/itsSh0la/status/1652627388813959168","https://x.com/itsSh0la/status/1652627388813959168")</f>
        <v/>
      </c>
      <c r="F13" t="inlineStr">
        <is>
          <t>Shola describes a scenario where men apologize even when not at fault, suggesting it leads women to undervalue them.</t>
        </is>
      </c>
      <c r="G13" t="inlineStr">
        <is>
          <t>When you're wrong, you apologize. When she's wrong, you still apologize. In her head, she's like; "Why did he apologize even when I'm the one who's wrong? He's obviously scared to lose me, maybe I'm too good for him, I think I need to leave him and find someone who's better."</t>
        </is>
      </c>
      <c r="H13" t="inlineStr">
        <is>
          <t>When you're wrong, you apologize. When she's wrong, you still apologize. In her mind, she's thinking, 'Why did he apologize even when I was the one who was wrong? He's obviously scared to lose me; maybe I'm too good for him. I think I need to leave him and find someone better.'</t>
        </is>
      </c>
      <c r="I13" t="inlineStr">
        <is>
          <t>English</t>
        </is>
      </c>
    </row>
    <row r="14">
      <c r="A14" t="inlineStr">
        <is>
          <t>SHO_013</t>
        </is>
      </c>
      <c r="B14" t="inlineStr">
        <is>
          <t>Shola</t>
        </is>
      </c>
      <c r="C14" t="inlineStr">
        <is>
          <t>X</t>
        </is>
      </c>
      <c r="D14" t="inlineStr">
        <is>
          <t>Tweet</t>
        </is>
      </c>
      <c r="E14">
        <f>HYPERLINK("https://x.com/itsSh0la/status/1652263110000926720","https://x.com/itsSh0la/status/1652263110000926720")</f>
        <v/>
      </c>
      <c r="F14" t="inlineStr">
        <is>
          <t>Shola lists reasons men fear losing women, including scarcity mindset and insecurity.</t>
        </is>
      </c>
      <c r="G14" t="inlineStr">
        <is>
          <t>Reasons you scared of losing her. - You live in scarcity and don't have your options open. - You're scared of being alone. - You've invested too much. - You're insecure; you think less of yourself believing you don't deserve her, thinking she's above your class.</t>
        </is>
      </c>
      <c r="H14" t="inlineStr">
        <is>
          <t>Reasons you're scared of losing her: - You live in scarcity and don't have your options open. - You're afraid of being alone. - You've invested too much. - You're insecure; you think less of yourself, believing you don't deserve her and that she's above your class.</t>
        </is>
      </c>
      <c r="I14" t="inlineStr">
        <is>
          <t>English</t>
        </is>
      </c>
    </row>
    <row r="15">
      <c r="A15" t="inlineStr">
        <is>
          <t>SHO_014</t>
        </is>
      </c>
      <c r="B15" t="inlineStr">
        <is>
          <t>Shola</t>
        </is>
      </c>
      <c r="C15" t="inlineStr">
        <is>
          <t>X</t>
        </is>
      </c>
      <c r="D15" t="inlineStr">
        <is>
          <t>Tweet</t>
        </is>
      </c>
      <c r="E15">
        <f>HYPERLINK("https://x.com/itsSh0la/status/1652003604738220032","https://x.com/itsSh0la/status/1652003604738220032")</f>
        <v/>
      </c>
      <c r="F15" t="inlineStr">
        <is>
          <t>Shola claims only women with bad attitudes complain about men not approaching them, contrasting them with respectful rich women.</t>
        </is>
      </c>
      <c r="G15" t="inlineStr">
        <is>
          <t>The respectful, well mannered rich women will never complain about men not moving to them. It's always the delusional ones with bad attitudes.</t>
        </is>
      </c>
      <c r="H15" t="inlineStr">
        <is>
          <t>The respectful, well mannered rich women will never complain about men not moving to them. It's always the delusional ones with bad attitudes.</t>
        </is>
      </c>
      <c r="I15" t="inlineStr">
        <is>
          <t>English</t>
        </is>
      </c>
    </row>
    <row r="16">
      <c r="A16" t="inlineStr">
        <is>
          <t>SHO_015</t>
        </is>
      </c>
      <c r="B16" t="inlineStr">
        <is>
          <t>Shola</t>
        </is>
      </c>
      <c r="C16" t="inlineStr">
        <is>
          <t>X</t>
        </is>
      </c>
      <c r="D16" t="inlineStr">
        <is>
          <t>Tweet</t>
        </is>
      </c>
      <c r="E16">
        <f>HYPERLINK("https://x.com/itsSh0la/status/1652003600707534862","https://x.com/itsSh0la/status/1652003600707534862")</f>
        <v/>
      </c>
      <c r="F16" t="inlineStr">
        <is>
          <t>Shola discusses the financial pressures on men as providers and the stress of family expenses.</t>
        </is>
      </c>
      <c r="G16" t="inlineStr">
        <is>
          <t>Whichever decision the man makes, he's still the provider, he's still gon be the one running majority of the expenses, can't be getting yelled at daily and still getting debit alerts for raising a family. I'd just run madd.</t>
        </is>
      </c>
      <c r="H16" t="inlineStr">
        <is>
          <t>Whichever decision the man makes, he's still the provider, he's still gon be the one running majority of the expenses, can't be getting yelled at daily and still getting debit alerts for raising a family. I'd just run madd.</t>
        </is>
      </c>
      <c r="I16" t="inlineStr">
        <is>
          <t>English</t>
        </is>
      </c>
    </row>
    <row r="17">
      <c r="A17" t="inlineStr">
        <is>
          <t>SHO_016</t>
        </is>
      </c>
      <c r="B17" t="inlineStr">
        <is>
          <t>Shola</t>
        </is>
      </c>
      <c r="C17" t="inlineStr">
        <is>
          <t>X</t>
        </is>
      </c>
      <c r="D17" t="inlineStr">
        <is>
          <t>Tweet</t>
        </is>
      </c>
      <c r="E17">
        <f>HYPERLINK("https://x.com/itsSh0la/status/1652003596555173910","https://x.com/itsSh0la/status/1652003596555173910")</f>
        <v/>
      </c>
      <c r="F17" t="inlineStr">
        <is>
          <t>Shola contrasts a dramatic rich woman with a submissive broke woman, favoring the latter for her traditional values.</t>
        </is>
      </c>
      <c r="G17"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c r="H17" t="inlineStr">
        <is>
          <t>Would you prefer a dramatic rich woman who believes 'my money is my money and your money is our money,' or a submissive broke woman who doesn't bring stress and trouble into your life? The latter still has her feminine values, doesn't see marriage as a competition, so you'll definitely go for her.</t>
        </is>
      </c>
      <c r="I17" t="inlineStr">
        <is>
          <t>English</t>
        </is>
      </c>
    </row>
    <row r="18">
      <c r="A18" t="inlineStr">
        <is>
          <t>SHO_017</t>
        </is>
      </c>
      <c r="B18" t="inlineStr">
        <is>
          <t>Shola</t>
        </is>
      </c>
      <c r="C18" t="inlineStr">
        <is>
          <t>X</t>
        </is>
      </c>
      <c r="D18" t="inlineStr">
        <is>
          <t>Tweet</t>
        </is>
      </c>
      <c r="E18">
        <f>HYPERLINK("https://x.com/itsSh0la/status/1652003592700608534","https://x.com/itsSh0la/status/1652003592700608534")</f>
        <v/>
      </c>
      <c r="F18" t="inlineStr">
        <is>
          <t>Shola argues that regardless of a woman's wealth, a man is expected to be the provider in a marriage.</t>
        </is>
      </c>
      <c r="G18" t="inlineStr">
        <is>
          <t>Either you marry a rich or broke woman, a man will always be a man, the provider of his home, so a woman's money doesn't really mean a thing if the values aren't there, cos with or without her money, you still gotta provide.</t>
        </is>
      </c>
      <c r="H18" t="inlineStr">
        <is>
          <t>Whether you marry a rich or broke woman, a man will always be a man, the provider of his home. So a woman's money doesn't really matter if the values aren't there, because with or without her money, you still have to provide.</t>
        </is>
      </c>
      <c r="I18" t="inlineStr">
        <is>
          <t>English</t>
        </is>
      </c>
    </row>
    <row r="19">
      <c r="A19" t="inlineStr">
        <is>
          <t>SHO_018</t>
        </is>
      </c>
      <c r="B19" t="inlineStr">
        <is>
          <t>Shola</t>
        </is>
      </c>
      <c r="C19" t="inlineStr">
        <is>
          <t>X</t>
        </is>
      </c>
      <c r="D19" t="inlineStr">
        <is>
          <t>Tweet</t>
        </is>
      </c>
      <c r="E19">
        <f>HYPERLINK("https://x.com/itsSh0la/status/1652003588904828930","https://x.com/itsSh0la/status/1652003588904828930")</f>
        <v/>
      </c>
      <c r="F19" t="inlineStr">
        <is>
          <t>Shola claims men are expected to provide and distribute wealth in a family, unlike women.</t>
        </is>
      </c>
      <c r="G19" t="inlineStr">
        <is>
          <t>Also, women are not distributors of wealth. A struggling man pushes til he gets comfortable, next thing, he's thinking of starting a family, accepting the responsibility to provide (wealth distribution), but it's different for women.</t>
        </is>
      </c>
      <c r="H19" t="inlineStr">
        <is>
          <t>Also, women are not distributors of wealth. A struggling man pushes til he gets comfortable, next thing, he's thinking of starting a family, accepting the responsibility to provide (wealth distribution), but it's different for women.</t>
        </is>
      </c>
      <c r="I19" t="inlineStr">
        <is>
          <t>English</t>
        </is>
      </c>
    </row>
    <row r="20">
      <c r="A20" t="inlineStr">
        <is>
          <t>SHO_019</t>
        </is>
      </c>
      <c r="B20" t="inlineStr">
        <is>
          <t>Shola</t>
        </is>
      </c>
      <c r="C20" t="inlineStr">
        <is>
          <t>X</t>
        </is>
      </c>
      <c r="D20" t="inlineStr">
        <is>
          <t>Tweet</t>
        </is>
      </c>
      <c r="E20">
        <f>HYPERLINK("https://x.com/itsSh0la/status/1652003585423491082","https://x.com/itsSh0la/status/1652003585423491082")</f>
        <v/>
      </c>
      <c r="F20" t="inlineStr">
        <is>
          <t>Shola argues men avoid marrying rich women because they become independent and less submissive.</t>
        </is>
      </c>
      <c r="G20"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c r="H20" t="inlineStr">
        <is>
          <t>I've seen women say that men are scared to marry rich women because of low self-esteem, but that's a lie. The truth is that once a woman gets money, she believes she's independent, doesn't need a man, sees no need to be submissive, and can become rude. Men don't want that.</t>
        </is>
      </c>
      <c r="I20" t="inlineStr">
        <is>
          <t>English</t>
        </is>
      </c>
    </row>
    <row r="21">
      <c r="A21" t="inlineStr">
        <is>
          <t>SHO_020</t>
        </is>
      </c>
      <c r="B21" t="inlineStr">
        <is>
          <t>Shola</t>
        </is>
      </c>
      <c r="C21" t="inlineStr">
        <is>
          <t>X</t>
        </is>
      </c>
      <c r="D21" t="inlineStr">
        <is>
          <t>Tweet</t>
        </is>
      </c>
      <c r="E21">
        <f>HYPERLINK("https://x.com/itsSh0la/status/1651950305637027840","https://x.com/itsSh0la/status/1651950305637027840")</f>
        <v/>
      </c>
      <c r="F21" t="inlineStr">
        <is>
          <t>Shola criticizes men who borrow money from women and fail to repay.</t>
        </is>
      </c>
      <c r="G21" t="inlineStr">
        <is>
          <t>Men, how do you comfortably borrow money from women? Some of you even end up not paying back. Ridiculous!</t>
        </is>
      </c>
      <c r="H21" t="inlineStr">
        <is>
          <t>Men, how do you comfortably borrow money from women? Some of you even end up not paying back. Ridiculous!</t>
        </is>
      </c>
      <c r="I21" t="inlineStr">
        <is>
          <t>English</t>
        </is>
      </c>
    </row>
    <row r="22">
      <c r="A22" t="inlineStr">
        <is>
          <t>SHO_021</t>
        </is>
      </c>
      <c r="B22" t="inlineStr">
        <is>
          <t>Shola</t>
        </is>
      </c>
      <c r="C22" t="inlineStr">
        <is>
          <t>X</t>
        </is>
      </c>
      <c r="D22" t="inlineStr">
        <is>
          <t>Tweet</t>
        </is>
      </c>
      <c r="E22">
        <f>HYPERLINK("https://x.com/itsSh0la/status/1651922915389059073","https://x.com/itsSh0la/status/1651922915389059073")</f>
        <v/>
      </c>
      <c r="F22" t="inlineStr">
        <is>
          <t>Shola expresses trust only in female family members, not sharing problems with non-family women.</t>
        </is>
      </c>
      <c r="G22" t="inlineStr">
        <is>
          <t>@bmofficial20 The only females that come through for me are my sisters. I don't even share my problems with women who aren't family to start with.</t>
        </is>
      </c>
      <c r="H22" t="inlineStr">
        <is>
          <t>@bmofficial20 The only females that come through for me are my sisters. I don't even share my problems with women who aren't family to start with.</t>
        </is>
      </c>
      <c r="I22" t="inlineStr">
        <is>
          <t>English</t>
        </is>
      </c>
    </row>
    <row r="23">
      <c r="A23" t="inlineStr">
        <is>
          <t>SHO_022</t>
        </is>
      </c>
      <c r="B23" t="inlineStr">
        <is>
          <t>Shola</t>
        </is>
      </c>
      <c r="C23" t="inlineStr">
        <is>
          <t>X</t>
        </is>
      </c>
      <c r="D23" t="inlineStr">
        <is>
          <t>Tweet</t>
        </is>
      </c>
      <c r="E23">
        <f>HYPERLINK("https://x.com/itsSh0la/status/1651920790151995392","https://x.com/itsSh0la/status/1651920790151995392")</f>
        <v/>
      </c>
      <c r="F23" t="inlineStr">
        <is>
          <t>Shola prefers helping men financially, believing they are more appreciative than women.</t>
        </is>
      </c>
      <c r="G23"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H23"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I23" t="inlineStr">
        <is>
          <t>English</t>
        </is>
      </c>
    </row>
    <row r="24">
      <c r="A24" t="inlineStr">
        <is>
          <t>SHO_023</t>
        </is>
      </c>
      <c r="B24" t="inlineStr">
        <is>
          <t>Shola</t>
        </is>
      </c>
      <c r="C24" t="inlineStr">
        <is>
          <t>X</t>
        </is>
      </c>
      <c r="D24" t="inlineStr">
        <is>
          <t>Tweet</t>
        </is>
      </c>
      <c r="E24">
        <f>HYPERLINK("https://x.com/itsSh0la/status/1651911094334550016","https://x.com/itsSh0la/status/1651911094334550016")</f>
        <v/>
      </c>
      <c r="F24" t="inlineStr">
        <is>
          <t>Shola advises against taking women seriously if they lack boundaries with other men.</t>
        </is>
      </c>
      <c r="G24" t="inlineStr">
        <is>
          <t>@MindOfHeadking Fact, a woman who doesn't set boundaries when it comes to being accessible to other men shouldn't be taken seriously.</t>
        </is>
      </c>
      <c r="H24" t="inlineStr">
        <is>
          <t>@MindOfHeadking Fact, a woman who doesn't set boundaries when it comes to being accessible to other men shouldn't be taken seriously.</t>
        </is>
      </c>
      <c r="I24" t="inlineStr">
        <is>
          <t>English</t>
        </is>
      </c>
    </row>
    <row r="25">
      <c r="A25" t="inlineStr">
        <is>
          <t>SHO_024</t>
        </is>
      </c>
      <c r="B25" t="inlineStr">
        <is>
          <t>Shola</t>
        </is>
      </c>
      <c r="C25" t="inlineStr">
        <is>
          <t>X</t>
        </is>
      </c>
      <c r="D25" t="inlineStr">
        <is>
          <t>Tweet</t>
        </is>
      </c>
      <c r="E25">
        <f>HYPERLINK("https://x.com/itsSh0la/status/1651564511965454342","https://x.com/itsSh0la/status/1651564511965454342")</f>
        <v/>
      </c>
      <c r="F25" t="inlineStr">
        <is>
          <t>Shola criticizes men who quickly respond to women who delay replying, suggesting they need help.</t>
        </is>
      </c>
      <c r="G25" t="inlineStr">
        <is>
          <t>You sent her a message, it took her 3 days to reply you, then you desperately replied her as soon as you saw her message with the speed of light, you're a finished man. Seek help!!!</t>
        </is>
      </c>
      <c r="H25" t="inlineStr">
        <is>
          <t>You sent her a message, it took her 3 days to reply you, then you desperately replied her as soon as you saw her message with the speed of light, you're a finished man. Seek help!!!</t>
        </is>
      </c>
      <c r="I25" t="inlineStr">
        <is>
          <t>English</t>
        </is>
      </c>
    </row>
    <row r="26">
      <c r="A26" t="inlineStr">
        <is>
          <t>SHO_025</t>
        </is>
      </c>
      <c r="B26" t="inlineStr">
        <is>
          <t>Shola</t>
        </is>
      </c>
      <c r="C26" t="inlineStr">
        <is>
          <t>X</t>
        </is>
      </c>
      <c r="D26" t="inlineStr">
        <is>
          <t>Tweet</t>
        </is>
      </c>
      <c r="E26">
        <f>HYPERLINK("https://x.com/itsSh0la/status/1651213879349747712","https://x.com/itsSh0la/status/1651213879349747712")</f>
        <v/>
      </c>
      <c r="F26" t="inlineStr">
        <is>
          <t>Shola argues that financial stability is crucial for self-prioritization, not just for attracting women.</t>
        </is>
      </c>
      <c r="G26"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c r="H26" t="inlineStr">
        <is>
          <t>@Matthew_kings0 @_AsiwajuLerry Even if he's broke, if she doesn't respect him, she's still going to leave. What's the point you're trying to make? When people say to make money first, it's not just about women; it has more to do with getting your priorities straight, fighting for your life, and eliminating distractions.</t>
        </is>
      </c>
      <c r="I26" t="inlineStr">
        <is>
          <t>Mixed (Pidgin + English)</t>
        </is>
      </c>
    </row>
    <row r="27">
      <c r="A27" t="inlineStr">
        <is>
          <t>SHO_026</t>
        </is>
      </c>
      <c r="B27" t="inlineStr">
        <is>
          <t>Shola</t>
        </is>
      </c>
      <c r="C27" t="inlineStr">
        <is>
          <t>X</t>
        </is>
      </c>
      <c r="D27" t="inlineStr">
        <is>
          <t>Tweet</t>
        </is>
      </c>
      <c r="E27">
        <f>HYPERLINK("https://x.com/itsSh0la/status/1651167539420954624","https://x.com/itsSh0la/status/1651167539420954624")</f>
        <v/>
      </c>
      <c r="F27" t="inlineStr">
        <is>
          <t>Shola claims women prefer decisive, masculine men who lead rather than 'nice guys' who are overly accommodating.</t>
        </is>
      </c>
      <c r="G27"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c r="H27" t="inlineStr">
        <is>
          <t>Nice guys are perceived as weak: she wants a man who embodies masculinity, someone who can lead her, has his own opinions, makes firm decisions, and stands by them—not someone who constantly bends his rules or changes his mind just to please her and appear perfect.</t>
        </is>
      </c>
      <c r="I27" t="inlineStr">
        <is>
          <t>English</t>
        </is>
      </c>
    </row>
    <row r="28">
      <c r="A28" t="inlineStr">
        <is>
          <t>SHO_027</t>
        </is>
      </c>
      <c r="B28" t="inlineStr">
        <is>
          <t>Shola</t>
        </is>
      </c>
      <c r="C28" t="inlineStr">
        <is>
          <t>X</t>
        </is>
      </c>
      <c r="D28" t="inlineStr">
        <is>
          <t>Tweet</t>
        </is>
      </c>
      <c r="E28">
        <f>HYPERLINK("https://x.com/itsSh0la/status/1651167535662788610","https://x.com/itsSh0la/status/1651167535662788610")</f>
        <v/>
      </c>
      <c r="F28" t="inlineStr">
        <is>
          <t>Shola suggests that being less available makes women value men more, contrasting 'bad guys' with 'nice guys'.</t>
        </is>
      </c>
      <c r="G28" t="inlineStr">
        <is>
          <t>Bad guys know how to play the game, they know when to give women their spaces, they let women chase them. That's why I always say "don't be too available for women, let them miss you" that way they'd value your presence more.</t>
        </is>
      </c>
      <c r="H28" t="inlineStr">
        <is>
          <t>Bad guys know how to play the game, they know when to give women their spaces, they let women chase them. That's why I always say "don't be too available for women, let them miss you" that way they'd value your presence more.</t>
        </is>
      </c>
      <c r="I28" t="inlineStr">
        <is>
          <t>English</t>
        </is>
      </c>
    </row>
    <row r="29">
      <c r="A29" t="inlineStr">
        <is>
          <t>SHO_028</t>
        </is>
      </c>
      <c r="B29" t="inlineStr">
        <is>
          <t>Shola</t>
        </is>
      </c>
      <c r="C29" t="inlineStr">
        <is>
          <t>X</t>
        </is>
      </c>
      <c r="D29" t="inlineStr">
        <is>
          <t>Tweet</t>
        </is>
      </c>
      <c r="E29">
        <f>HYPERLINK("https://x.com/itsSh0la/status/1651167532152246280","https://x.com/itsSh0la/status/1651167532152246280")</f>
        <v/>
      </c>
      <c r="F29" t="inlineStr">
        <is>
          <t>Shola argues that 'nice guys' lose out because they are too available, unlike 'bad guys' who create scarcity.</t>
        </is>
      </c>
      <c r="G29"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H29" t="inlineStr">
        <is>
          <t>Nice guys can be seen as stalkers and too clingy: girls crave attention, so if they don't get it, they will come to you. But once they receive that attention, they often feel no need to pursue you anymore. This is where nice guys typically fail because they are always too available.</t>
        </is>
      </c>
      <c r="I29" t="inlineStr">
        <is>
          <t>English</t>
        </is>
      </c>
    </row>
    <row r="30">
      <c r="A30" t="inlineStr">
        <is>
          <t>SHO_029</t>
        </is>
      </c>
      <c r="B30" t="inlineStr">
        <is>
          <t>Shola</t>
        </is>
      </c>
      <c r="C30" t="inlineStr">
        <is>
          <t>X</t>
        </is>
      </c>
      <c r="D30" t="inlineStr">
        <is>
          <t>Tweet</t>
        </is>
      </c>
      <c r="E30">
        <f>HYPERLINK("https://x.com/itsSh0la/status/1651167528620630016","https://x.com/itsSh0la/status/1651167528620630016")</f>
        <v/>
      </c>
      <c r="F30" t="inlineStr">
        <is>
          <t>Shola describes how 'nice guys' are exploited for being too accommodating, unlike straightforward 'bad guys'.</t>
        </is>
      </c>
      <c r="G30"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H30"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I30" t="inlineStr">
        <is>
          <t>English</t>
        </is>
      </c>
    </row>
    <row r="31">
      <c r="A31" t="inlineStr">
        <is>
          <t>SHO_030</t>
        </is>
      </c>
      <c r="B31" t="inlineStr">
        <is>
          <t>Shola</t>
        </is>
      </c>
      <c r="C31" t="inlineStr">
        <is>
          <t>X</t>
        </is>
      </c>
      <c r="D31" t="inlineStr">
        <is>
          <t>Tweet</t>
        </is>
      </c>
      <c r="E31">
        <f>HYPERLINK("https://x.com/itsSh0la/status/1651167524862451713","https://x.com/itsSh0la/status/1651167524862451713")</f>
        <v/>
      </c>
      <c r="F31" t="inlineStr">
        <is>
          <t>Shola contrasts 'nice guys' who struggle to express desires with 'bad guys' who are direct and intentional.</t>
        </is>
      </c>
      <c r="G31"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c r="H31" t="inlineStr">
        <is>
          <t>Nice guys often don't get straight to the point: they struggle to express themselves, which can make it seem like they don't know what they want. In contrast, bad guys, even if they only want sex, will confidently state their intentions. Bad guys are more intentional.</t>
        </is>
      </c>
      <c r="I31" t="inlineStr">
        <is>
          <t>English</t>
        </is>
      </c>
    </row>
    <row r="32">
      <c r="A32" t="inlineStr">
        <is>
          <t>SHO_031</t>
        </is>
      </c>
      <c r="B32" t="inlineStr">
        <is>
          <t>Shola</t>
        </is>
      </c>
      <c r="C32" t="inlineStr">
        <is>
          <t>X</t>
        </is>
      </c>
      <c r="D32" t="inlineStr">
        <is>
          <t>Tweet</t>
        </is>
      </c>
      <c r="E32">
        <f>HYPERLINK("https://x.com/itsSh0la/status/1651167521314156544","https://x.com/itsSh0la/status/1651167521314156544")</f>
        <v/>
      </c>
      <c r="F32" t="inlineStr">
        <is>
          <t>Shola argues women prefer men desired by others, suggesting scarcity and competition in dating dynamics.</t>
        </is>
      </c>
      <c r="G32"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H32"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I32" t="inlineStr">
        <is>
          <t>English</t>
        </is>
      </c>
    </row>
    <row r="33">
      <c r="A33" t="inlineStr">
        <is>
          <t>SHO_032</t>
        </is>
      </c>
      <c r="B33" t="inlineStr">
        <is>
          <t>Shola</t>
        </is>
      </c>
      <c r="C33" t="inlineStr">
        <is>
          <t>X</t>
        </is>
      </c>
      <c r="D33" t="inlineStr">
        <is>
          <t>Tweet</t>
        </is>
      </c>
      <c r="E33">
        <f>HYPERLINK("https://x.com/itsSh0la/status/1651167515811233795","https://x.com/itsSh0la/status/1651167515811233795")</f>
        <v/>
      </c>
      <c r="F33" t="inlineStr">
        <is>
          <t>Shola claims women prefer 'bad guys' over 'nice guys' for their adventurous nature and excitement.</t>
        </is>
      </c>
      <c r="G33" t="inlineStr">
        <is>
          <t>2. Nice guys are boring: bad guys are adventurous, bad guys give women a different type of experience, they are fun to be around, another reason why women will rather go for a bad guy than settle for a nice guy.</t>
        </is>
      </c>
      <c r="H33" t="inlineStr">
        <is>
          <t>2. Nice guys are boring: bad guys are adventurous, bad guys give women a different type of experience, they are fun to be around, another reason why women will rather go for a bad guy than settle for a nice guy.</t>
        </is>
      </c>
      <c r="I33" t="inlineStr">
        <is>
          <t>English</t>
        </is>
      </c>
    </row>
    <row r="34">
      <c r="A34" t="inlineStr">
        <is>
          <t>SHO_033</t>
        </is>
      </c>
      <c r="B34" t="inlineStr">
        <is>
          <t>Shola</t>
        </is>
      </c>
      <c r="C34" t="inlineStr">
        <is>
          <t>X</t>
        </is>
      </c>
      <c r="D34" t="inlineStr">
        <is>
          <t>Tweet</t>
        </is>
      </c>
      <c r="E34">
        <f>HYPERLINK("https://x.com/itsSh0la/status/1651167509154807810","https://x.com/itsSh0la/status/1651167509154807810")</f>
        <v/>
      </c>
      <c r="F34" t="inlineStr">
        <is>
          <t>Shola lists reasons women allegedly dislike 'nice guys,' including perceived insincerity and people-pleasing behavior.</t>
        </is>
      </c>
      <c r="G34"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H34"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I34" t="inlineStr">
        <is>
          <t>English</t>
        </is>
      </c>
    </row>
    <row r="35">
      <c r="A35" t="inlineStr">
        <is>
          <t>SHO_034</t>
        </is>
      </c>
      <c r="B35" t="inlineStr">
        <is>
          <t>Shola</t>
        </is>
      </c>
      <c r="C35" t="inlineStr">
        <is>
          <t>X</t>
        </is>
      </c>
      <c r="D35" t="inlineStr">
        <is>
          <t>Tweet</t>
        </is>
      </c>
      <c r="E35">
        <f>HYPERLINK("https://x.com/itsSh0la/status/1650962741857775634","https://x.com/itsSh0la/status/1650962741857775634")</f>
        <v/>
      </c>
      <c r="F35" t="inlineStr">
        <is>
          <t>Shola discusses competition among men to financially outbid each other for women's attention.</t>
        </is>
      </c>
      <c r="G35" t="inlineStr">
        <is>
          <t>No matter how much you have, there's always going to be a bigger simp that will outbid you. If you spend 500k weekly to keep her, there's a simp somewhere willing to buy her a car and the latest iPhone to get her attention, and your cheap gf won't think twice before dumping you.</t>
        </is>
      </c>
      <c r="H35" t="inlineStr">
        <is>
          <t>No matter how much you have, there's always going to be a bigger simp that will outbid you. If you spend 500k weekly to keep her, there's a simp somewhere willing to buy her a car and the latest iPhone to get her attention, and your cheap gf won't think twice before dumping you.</t>
        </is>
      </c>
      <c r="I35" t="inlineStr">
        <is>
          <t>English</t>
        </is>
      </c>
    </row>
    <row r="36">
      <c r="A36" t="inlineStr">
        <is>
          <t>SHO_035</t>
        </is>
      </c>
      <c r="B36" t="inlineStr">
        <is>
          <t>Shola</t>
        </is>
      </c>
      <c r="C36" t="inlineStr">
        <is>
          <t>X</t>
        </is>
      </c>
      <c r="D36" t="inlineStr">
        <is>
          <t>Tweet</t>
        </is>
      </c>
      <c r="E36">
        <f>HYPERLINK("https://x.com/itsSh0la/status/1641505314150162433","https://x.com/itsSh0la/status/1641505314150162433")</f>
        <v/>
      </c>
      <c r="F36" t="inlineStr">
        <is>
          <t>Shola criticizes a woman for expecting financial support without commitment, suggesting men are becoming more aware of such dynamics.</t>
        </is>
      </c>
      <c r="G36" t="inlineStr">
        <is>
          <t>He asked her out and she started with the billing without even giving him a YES or NO. Men are waking up, good times👑 https://t.co/fqx3NONx1l</t>
        </is>
      </c>
      <c r="H36" t="inlineStr">
        <is>
          <t>He asked her out, and she immediately started talking about the expenses without even giving him a YES or NO. Men are waking up, good times👑 https://t.co/fqx3NONx1l</t>
        </is>
      </c>
      <c r="I36" t="inlineStr">
        <is>
          <t>Mixed (Pidgin + English)</t>
        </is>
      </c>
    </row>
    <row r="37">
      <c r="A37" t="inlineStr">
        <is>
          <t>SHO_036</t>
        </is>
      </c>
      <c r="B37" t="inlineStr">
        <is>
          <t>Shola</t>
        </is>
      </c>
      <c r="C37" t="inlineStr">
        <is>
          <t>X</t>
        </is>
      </c>
      <c r="D37" t="inlineStr">
        <is>
          <t>Tweet</t>
        </is>
      </c>
      <c r="E37">
        <f>HYPERLINK("https://x.com/itsSh0la/status/1641439108915425280","https://x.com/itsSh0la/status/1641439108915425280")</f>
        <v/>
      </c>
      <c r="F37" t="inlineStr">
        <is>
          <t>Shola advises men against financially supporting girlfriends, critiquing the expectation of men as providers in relationships.</t>
        </is>
      </c>
      <c r="G37" t="inlineStr">
        <is>
          <t>There's a finished man somewhere hustling so hard to raise money so he can send the girl he's dating monthly allowance again, save yourself the stress man. Don't do it.</t>
        </is>
      </c>
      <c r="H37" t="inlineStr">
        <is>
          <t>There’s a man out there working hard to earn money just to send his girlfriend a monthly allowance again. Save yourself the trouble, man. Don’t do it.</t>
        </is>
      </c>
      <c r="I37" t="inlineStr">
        <is>
          <t>English</t>
        </is>
      </c>
    </row>
    <row r="38">
      <c r="A38" t="inlineStr">
        <is>
          <t>SHO_037</t>
        </is>
      </c>
      <c r="B38" t="inlineStr">
        <is>
          <t>Shola</t>
        </is>
      </c>
      <c r="C38" t="inlineStr">
        <is>
          <t>X</t>
        </is>
      </c>
      <c r="D38" t="inlineStr">
        <is>
          <t>Tweet</t>
        </is>
      </c>
      <c r="E38">
        <f>HYPERLINK("https://x.com/itsSh0la/status/1641094628173643778","https://x.com/itsSh0la/status/1641094628173643778")</f>
        <v/>
      </c>
      <c r="F38" t="inlineStr">
        <is>
          <t>Shola argues that female friendships are unnecessary unless sexual or business-related, implying women offer no unique value as friends.</t>
        </is>
      </c>
      <c r="G38" t="inlineStr">
        <is>
          <t>There's nothing you'd need a female friend for that you can't get from a male friend unless you clapping those cheeks. More reason I don't keep female friends unless we got a thing or we're doing business together. I'm okay with the male friends I got.</t>
        </is>
      </c>
      <c r="H38" t="inlineStr">
        <is>
          <t>There's nothing you'd need a female friend for that you can't get from a male friend unless you clapping those cheeks. More reason I don't keep female friends unless we got a thing or we're doing business together. I'm okay with the male friends I got.</t>
        </is>
      </c>
      <c r="I38" t="inlineStr">
        <is>
          <t>English</t>
        </is>
      </c>
    </row>
    <row r="39">
      <c r="A39" t="inlineStr">
        <is>
          <t>SHO_038</t>
        </is>
      </c>
      <c r="B39" t="inlineStr">
        <is>
          <t>Shola</t>
        </is>
      </c>
      <c r="C39" t="inlineStr">
        <is>
          <t>X</t>
        </is>
      </c>
      <c r="D39" t="inlineStr">
        <is>
          <t>Tweet</t>
        </is>
      </c>
      <c r="E39">
        <f>HYPERLINK("https://x.com/itsSh0la/status/1641094150786367489","https://x.com/itsSh0la/status/1641094150786367489")</f>
        <v/>
      </c>
      <c r="F39" t="inlineStr">
        <is>
          <t>Shola claims male-female friendships are parasitic, benefiting women emotionally and financially while men gain nothing.</t>
        </is>
      </c>
      <c r="G39" t="inlineStr">
        <is>
          <t>Men and women friendships are mostly parasitic, one sided and beneficial to women only. In most cases, they use you for emotional and financial support, chat buddy to kiII boredom, while you get nothing in return. You're definitely getting used in the process.</t>
        </is>
      </c>
      <c r="H39" t="inlineStr">
        <is>
          <t>Men and women friendships are mostly parasitic, one sided and beneficial to women only. In most cases, they use you for emotional and financial support, chat buddy to kiII boredom, while you get nothing in return. You're definitely getting used in the process.</t>
        </is>
      </c>
      <c r="I39" t="inlineStr">
        <is>
          <t>English</t>
        </is>
      </c>
    </row>
    <row r="40">
      <c r="A40" t="inlineStr">
        <is>
          <t>SHO_039</t>
        </is>
      </c>
      <c r="B40" t="inlineStr">
        <is>
          <t>Shola</t>
        </is>
      </c>
      <c r="C40" t="inlineStr">
        <is>
          <t>X</t>
        </is>
      </c>
      <c r="D40" t="inlineStr">
        <is>
          <t>Tweet</t>
        </is>
      </c>
      <c r="E40">
        <f>HYPERLINK("https://x.com/itsSh0la/status/1641089707684536320","https://x.com/itsSh0la/status/1641089707684536320")</f>
        <v/>
      </c>
      <c r="F40" t="inlineStr">
        <is>
          <t>Shola insists female friendships are parasitic unless sexual or business-related, emphasizing negative views on women.</t>
        </is>
      </c>
      <c r="G40" t="inlineStr">
        <is>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is>
      </c>
      <c r="H40" t="inlineStr">
        <is>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is>
      </c>
      <c r="I40" t="inlineStr">
        <is>
          <t>English</t>
        </is>
      </c>
    </row>
    <row r="41">
      <c r="A41" t="inlineStr">
        <is>
          <t>SHO_040</t>
        </is>
      </c>
      <c r="B41" t="inlineStr">
        <is>
          <t>Shola</t>
        </is>
      </c>
      <c r="C41" t="inlineStr">
        <is>
          <t>X</t>
        </is>
      </c>
      <c r="D41" t="inlineStr">
        <is>
          <t>Tweet</t>
        </is>
      </c>
      <c r="E41">
        <f>HYPERLINK("https://x.com/itsSh0la/status/1640845160861908993","https://x.com/itsSh0la/status/1640845160861908993")</f>
        <v/>
      </c>
      <c r="F41" t="inlineStr">
        <is>
          <t>Shola mocks men who think they need to be 'demons' (bad boys) to attract women, suggesting women are easily manipulated.</t>
        </is>
      </c>
      <c r="G41" t="inlineStr">
        <is>
          <t>@MindOfHeadking These men always think it's about being a demon lmaooo maybe we need to start putting our women on camera so they can see how we deal in real life, and how we get a lot of women even after not giving a fvck on the internet.</t>
        </is>
      </c>
      <c r="H41" t="inlineStr">
        <is>
          <t>@MindOfHeadking These men always think it’s about being a demon, lmao. Maybe we should start putting our women on camera so they can see how we handle things in real life and how we attract many women even when we don’t care about appearances on the internet.</t>
        </is>
      </c>
      <c r="I41" t="inlineStr">
        <is>
          <t>Mixed (Pidgin + English)</t>
        </is>
      </c>
    </row>
    <row r="42">
      <c r="A42" t="inlineStr">
        <is>
          <t>SHO_041</t>
        </is>
      </c>
      <c r="B42" t="inlineStr">
        <is>
          <t>Shola</t>
        </is>
      </c>
      <c r="C42" t="inlineStr">
        <is>
          <t>X</t>
        </is>
      </c>
      <c r="D42" t="inlineStr">
        <is>
          <t>Tweet</t>
        </is>
      </c>
      <c r="E42">
        <f>HYPERLINK("https://x.com/itsSh0la/status/1640435905209966597","https://x.com/itsSh0la/status/1640435905209966597")</f>
        <v/>
      </c>
      <c r="F42" t="inlineStr">
        <is>
          <t>Shola encourages men to assertively say no to women, promoting self-prioritization and emotional boundaries.</t>
        </is>
      </c>
      <c r="G42" t="inlineStr">
        <is>
          <t>Men need to learn how to say NO often to women without feeling bad about it. Men need to learn how to say NO often to women without having to explain themselves. Men need to learn to always do what's best for them. Don't be a YES man.</t>
        </is>
      </c>
      <c r="H42" t="inlineStr">
        <is>
          <t>Men need to learn how to say NO often to women without feeling bad about it. Men need to learn how to say NO often to women without having to explain themselves. Men need to learn to always do what's best for them. Don't be a YES man.</t>
        </is>
      </c>
      <c r="I42" t="inlineStr">
        <is>
          <t>English</t>
        </is>
      </c>
    </row>
    <row r="43">
      <c r="A43" t="inlineStr">
        <is>
          <t>SHO_042</t>
        </is>
      </c>
      <c r="B43" t="inlineStr">
        <is>
          <t>Shola</t>
        </is>
      </c>
      <c r="C43" t="inlineStr">
        <is>
          <t>X</t>
        </is>
      </c>
      <c r="D43" t="inlineStr">
        <is>
          <t>Tweet</t>
        </is>
      </c>
      <c r="E43">
        <f>HYPERLINK("https://x.com/itsSh0la/status/1628468754609831944","https://x.com/itsSh0la/status/1628468754609831944")</f>
        <v/>
      </c>
      <c r="F43" t="inlineStr">
        <is>
          <t>Shola comments on a girl's caption, agreeing that men deserve to be used or exploited.</t>
        </is>
      </c>
      <c r="G43" t="inlineStr">
        <is>
          <t>It's the girls caption for me, these men deserve to be used tho. Use them!!!</t>
        </is>
      </c>
      <c r="H43" t="inlineStr">
        <is>
          <t>It's the girls caption for me, these men deserve to be used tho. Use them!!!</t>
        </is>
      </c>
      <c r="I43" t="inlineStr">
        <is>
          <t>English</t>
        </is>
      </c>
    </row>
    <row r="44">
      <c r="A44" t="inlineStr">
        <is>
          <t>SHO_043</t>
        </is>
      </c>
      <c r="B44" t="inlineStr">
        <is>
          <t>Shola</t>
        </is>
      </c>
      <c r="C44" t="inlineStr">
        <is>
          <t>X</t>
        </is>
      </c>
      <c r="D44" t="inlineStr">
        <is>
          <t>Tweet</t>
        </is>
      </c>
      <c r="E44">
        <f>HYPERLINK("https://x.com/itsSh0la/status/1628463098209177603","https://x.com/itsSh0la/status/1628463098209177603")</f>
        <v/>
      </c>
      <c r="F44" t="inlineStr">
        <is>
          <t>Shola criticizes men who complain about women dating them for money, suggesting they should improve their dating skills.</t>
        </is>
      </c>
      <c r="G44" t="inlineStr">
        <is>
          <t>You can't enter a girl's DM like this and still complain she dated you for your money, what were you expecting? You brought it upon yourself. Learn Game Kings!!! https://t.co/tTcR6C3DMz</t>
        </is>
      </c>
      <c r="H44" t="inlineStr">
        <is>
          <t>You can’t slide into a girl’s DM like this and then complain she dated you for your money. What were you expecting? You brought this on yourself. Learn the game, Kings!!! https://t.co/tTcR6C3DMz</t>
        </is>
      </c>
      <c r="I44" t="inlineStr">
        <is>
          <t>Mixed (Pidgin + English)</t>
        </is>
      </c>
    </row>
    <row r="45">
      <c r="A45" t="inlineStr">
        <is>
          <t>SHO_044</t>
        </is>
      </c>
      <c r="B45" t="inlineStr">
        <is>
          <t>Shola</t>
        </is>
      </c>
      <c r="C45" t="inlineStr">
        <is>
          <t>X</t>
        </is>
      </c>
      <c r="D45" t="inlineStr">
        <is>
          <t>Tweet</t>
        </is>
      </c>
      <c r="E45">
        <f>HYPERLINK("https://x.com/itsSh0la/status/1628416830455877634","https://x.com/itsSh0la/status/1628416830455877634")</f>
        <v/>
      </c>
      <c r="F45" t="inlineStr">
        <is>
          <t>Shola advises men to save money instead of trying to help women, implying it's futile.</t>
        </is>
      </c>
      <c r="G45" t="inlineStr">
        <is>
          <t>@manhimself__ You're not a therapist, you're not Jesus, save your money instead of trying so hard to save these women.</t>
        </is>
      </c>
      <c r="H45" t="inlineStr">
        <is>
          <t>@manhimself__ You’re not a therapist, you’re not Jesus. Save your money instead of trying so hard to rescue these women.</t>
        </is>
      </c>
      <c r="I45" t="inlineStr">
        <is>
          <t>Mixed (Pidgin + English)</t>
        </is>
      </c>
    </row>
    <row r="46">
      <c r="A46" t="inlineStr">
        <is>
          <t>SHO_049</t>
        </is>
      </c>
      <c r="B46" t="inlineStr">
        <is>
          <t>Shola</t>
        </is>
      </c>
      <c r="C46" t="inlineStr">
        <is>
          <t>X</t>
        </is>
      </c>
      <c r="D46" t="inlineStr">
        <is>
          <t>Tweet</t>
        </is>
      </c>
      <c r="E46">
        <f>HYPERLINK("https://x.com/itsSh0la/status/1628416198659526656","https://x.com/itsSh0la/status/1628416198659526656")</f>
        <v/>
      </c>
      <c r="F46" t="inlineStr">
        <is>
          <t>Shola advises dating submissive women who accept traditional roles over modern women who resist them.</t>
        </is>
      </c>
      <c r="G46" t="inlineStr">
        <is>
          <t>Date submissive women who are respectful and want to be led, instead of dating rude and confused modern women that you'd have to force into something they think it's slavery and reduces them from being humans.</t>
        </is>
      </c>
      <c r="H46" t="inlineStr">
        <is>
          <t>Date submissive women who are respectful and want to be led, instead of dating rude and confused modern women that you'd have to force into something they think it's slavery and reduces them from being humans.</t>
        </is>
      </c>
      <c r="I46" t="inlineStr">
        <is>
          <t>English</t>
        </is>
      </c>
    </row>
    <row r="47">
      <c r="A47" t="inlineStr">
        <is>
          <t>SHO_045</t>
        </is>
      </c>
      <c r="B47" t="inlineStr">
        <is>
          <t>Shola</t>
        </is>
      </c>
      <c r="C47" t="inlineStr">
        <is>
          <t>X</t>
        </is>
      </c>
      <c r="D47" t="inlineStr">
        <is>
          <t>Tweet</t>
        </is>
      </c>
      <c r="E47">
        <f>HYPERLINK("https://x.com/itsSh0la/status/1628159921660256256","https://x.com/itsSh0la/status/1628159921660256256")</f>
        <v/>
      </c>
      <c r="F47" t="inlineStr">
        <is>
          <t>Shola warns against committing crimes for love, suggesting women will move on while men suffer consequences.</t>
        </is>
      </c>
      <c r="G47" t="inlineStr">
        <is>
          <t>@Sir_Steeze Til you go steal outside and get caught, end up in jail, while she's free getting smashed by other guys. That isn't love, it's f00lishness.</t>
        </is>
      </c>
      <c r="H47" t="inlineStr">
        <is>
          <t>@Sir_Steeze Until you go steal outside, get caught, and end up in jail while she’s out there getting involved with other guys. That’s not love; it’s foolishness.</t>
        </is>
      </c>
      <c r="I47" t="inlineStr">
        <is>
          <t>Mixed (Pidgin + English)</t>
        </is>
      </c>
    </row>
    <row r="48">
      <c r="A48" t="inlineStr">
        <is>
          <t>SHO_046</t>
        </is>
      </c>
      <c r="B48" t="inlineStr">
        <is>
          <t>Shola</t>
        </is>
      </c>
      <c r="C48" t="inlineStr">
        <is>
          <t>X</t>
        </is>
      </c>
      <c r="D48" t="inlineStr">
        <is>
          <t>Tweet</t>
        </is>
      </c>
      <c r="E48">
        <f>HYPERLINK("https://x.com/itsSh0la/status/1662051837590077440","https://x.com/itsSh0la/status/1662051837590077440")</f>
        <v/>
      </c>
      <c r="F48" t="inlineStr">
        <is>
          <t>A tweet discussing mutual satisfaction in a relationship, emphasizing equal desire between partners.</t>
        </is>
      </c>
      <c r="G48" t="inlineStr">
        <is>
          <t>@MindOfHeadking This is very valid, it shows she wants it as much as you want it. Mutual satisfaction.</t>
        </is>
      </c>
      <c r="H48" t="inlineStr">
        <is>
          <t>@MindOfHeadking This is very valid; it shows she wants it just as much as you do. Mutual satisfaction.</t>
        </is>
      </c>
      <c r="I48" t="inlineStr">
        <is>
          <t>English</t>
        </is>
      </c>
    </row>
    <row r="49">
      <c r="A49" t="inlineStr">
        <is>
          <t>SHO_047</t>
        </is>
      </c>
      <c r="B49" t="inlineStr">
        <is>
          <t>Shola</t>
        </is>
      </c>
      <c r="C49" t="inlineStr">
        <is>
          <t>X</t>
        </is>
      </c>
      <c r="D49" t="inlineStr">
        <is>
          <t>Tweet</t>
        </is>
      </c>
      <c r="E49">
        <f>HYPERLINK("https://x.com/itsSh0la/status/1650853184552980485","https://x.com/itsSh0la/status/1650853184552980485")</f>
        <v/>
      </c>
      <c r="F49" t="inlineStr">
        <is>
          <t>A Twitter user explains that their gym routine is for personal growth and therapy, not to impress women, highlighting self-development.</t>
        </is>
      </c>
      <c r="G49" t="inlineStr">
        <is>
          <t>@Prettytroller Impress women? You think I'd go to the gym to feel pain on a daily just to impress women? It's self development to me, it's for me, it's therapy to me. Y'all funny asf.</t>
        </is>
      </c>
      <c r="H49" t="inlineStr">
        <is>
          <t>@Prettytroller Impress women? You think I'd go to the gym to feel pain on a daily just to impress women? It's self development to me, it's for me, it's therapy to me. Y'all funny asf.</t>
        </is>
      </c>
      <c r="I49" t="inlineStr">
        <is>
          <t>English</t>
        </is>
      </c>
    </row>
    <row r="50">
      <c r="A50" t="inlineStr">
        <is>
          <t>SHO_048</t>
        </is>
      </c>
      <c r="B50" t="inlineStr">
        <is>
          <t>Shola</t>
        </is>
      </c>
      <c r="C50" t="inlineStr">
        <is>
          <t>X</t>
        </is>
      </c>
      <c r="D50" t="inlineStr">
        <is>
          <t>Tweet</t>
        </is>
      </c>
      <c r="E50">
        <f>HYPERLINK("https://x.com/itsSh0la/status/1641175498410672130","https://x.com/itsSh0la/status/1641175498410672130")</f>
        <v/>
      </c>
      <c r="F50" t="inlineStr">
        <is>
          <t>A tweet expressing approval of a method for dealing with women perceived as shameless, using a metaphorical 'king' endorsement.</t>
        </is>
      </c>
      <c r="G50" t="inlineStr">
        <is>
          <t>This is how you deal with shameIess women, a king in my book👑 https://t.co/KZN1ep8LbA</t>
        </is>
      </c>
      <c r="H50" t="inlineStr">
        <is>
          <t>This is how you deal with shameIess women, a king in my book👑 https://t.co/KZN1ep8LbA</t>
        </is>
      </c>
      <c r="I50" t="inlineStr">
        <is>
          <t>English</t>
        </is>
      </c>
    </row>
    <row r="51">
      <c r="A51" t="inlineStr">
        <is>
          <t>SHO_050</t>
        </is>
      </c>
      <c r="B51" t="inlineStr">
        <is>
          <t>Shola</t>
        </is>
      </c>
      <c r="C51" t="inlineStr">
        <is>
          <t>X</t>
        </is>
      </c>
      <c r="D51" t="inlineStr">
        <is>
          <t>Tweet</t>
        </is>
      </c>
      <c r="E51">
        <f>HYPERLINK("https://x.com/itsSh0la/status/1628509804153929742","https://x.com/itsSh0la/status/1628509804153929742")</f>
        <v/>
      </c>
      <c r="F51" t="inlineStr">
        <is>
          <t>A social media user advises someone to demand more money, suggesting exploitation, in a Nigerian context where '10k' refers to 10,000 Naira.</t>
        </is>
      </c>
      <c r="G51" t="inlineStr">
        <is>
          <t>@Abimbolacrown11 Tell him 10k is too small, collect more. Use him!!!</t>
        </is>
      </c>
      <c r="H51" t="inlineStr">
        <is>
          <t>@Abimbolacrown11 Tell him 10k is too small, collect more. Use him!!!</t>
        </is>
      </c>
      <c r="I51" t="inlineStr">
        <is>
          <t>English</t>
        </is>
      </c>
    </row>
    <row r="52">
      <c r="A52" t="inlineStr">
        <is>
          <t>SHO_051</t>
        </is>
      </c>
      <c r="B52" t="inlineStr">
        <is>
          <t>Shola</t>
        </is>
      </c>
      <c r="C52" t="inlineStr">
        <is>
          <t>X</t>
        </is>
      </c>
      <c r="D52" t="inlineStr">
        <is>
          <t>Tweet</t>
        </is>
      </c>
      <c r="E52">
        <f>HYPERLINK("https://x.com/itsSh0la/status/1628469143472144385","https://x.com/itsSh0la/status/1628469143472144385")</f>
        <v/>
      </c>
      <c r="F52" t="inlineStr">
        <is>
          <t>A tweet expressing a controversial opinion about deserving treatment, requiring cultural sensitivity for accurate interpretation in the Nigerian context.</t>
        </is>
      </c>
      <c r="G52" t="inlineStr">
        <is>
          <t>@ThemancalledEm1 They deserve to be used, honestly.</t>
        </is>
      </c>
      <c r="H52" t="inlineStr">
        <is>
          <t>@ThemancalledEm1 They deserve to be used, honestly.</t>
        </is>
      </c>
      <c r="I52" t="inlineStr">
        <is>
          <t>English</t>
        </is>
      </c>
    </row>
    <row r="53">
      <c r="A53" t="inlineStr">
        <is>
          <t>SHO_052</t>
        </is>
      </c>
      <c r="B53" t="inlineStr">
        <is>
          <t>Shola</t>
        </is>
      </c>
      <c r="C53" t="inlineStr">
        <is>
          <t>X</t>
        </is>
      </c>
      <c r="D53" t="inlineStr">
        <is>
          <t>Tweet</t>
        </is>
      </c>
      <c r="E53">
        <f>HYPERLINK("https://x.com/itsSh0la/status/1628156373774090243","https://x.com/itsSh0la/status/1628156373774090243")</f>
        <v/>
      </c>
      <c r="F53" t="inlineStr">
        <is>
          <t>The text criticizes individuals who excessively prioritize romantic interests over personal and social responsibilities, potentially harming themselves and others.</t>
        </is>
      </c>
      <c r="G53" t="inlineStr">
        <is>
          <t>Simps are dangerous to themselves, family, friends, the society in whole. They don't mind selling their friends out or selling their father's house to please these women. https://t.co/HPWQOZ6EAK</t>
        </is>
      </c>
      <c r="H53" t="inlineStr">
        <is>
          <t>Simps are dangerous to themselves, family, friends, the society in whole. They don't mind selling their friends out or selling their father's house to please these women. https://t.co/HPWQOZ6EAK</t>
        </is>
      </c>
      <c r="I53" t="inlineStr">
        <is>
          <t>English</t>
        </is>
      </c>
    </row>
    <row r="54">
      <c r="A54" t="inlineStr">
        <is>
          <t>SHO_053</t>
        </is>
      </c>
      <c r="B54" t="inlineStr">
        <is>
          <t>Shola</t>
        </is>
      </c>
      <c r="C54" t="inlineStr">
        <is>
          <t>X</t>
        </is>
      </c>
      <c r="D54" t="inlineStr">
        <is>
          <t>Tweet</t>
        </is>
      </c>
      <c r="E54">
        <f>HYPERLINK("https://x.com/itsSh0la/status/1627968217946759170","https://x.com/itsSh0la/status/1627968217946759170")</f>
        <v/>
      </c>
      <c r="F54" t="inlineStr">
        <is>
          <t>Critique of self-respect and self-deception among men, highlighting societal pressures and personal accountability in the Nigerian context.</t>
        </is>
      </c>
      <c r="G54" t="inlineStr">
        <is>
          <t>@PenTitan It's actually hard to believe there are men who know their worth when you as a man don't even respect yourself to start with, it's the lie they tell themselves to feel better while they wallow in nonsense.</t>
        </is>
      </c>
      <c r="H54" t="inlineStr">
        <is>
          <t>@PenTitan It's actually hard to believe there are men who know their worth when you as a man don't even respect yourself to start with, it's the lie they tell themselves to feel better while they wallow in nonsense.</t>
        </is>
      </c>
      <c r="I54" t="inlineStr">
        <is>
          <t>English</t>
        </is>
      </c>
    </row>
    <row r="55">
      <c r="A55" t="inlineStr">
        <is>
          <t>SHO_054</t>
        </is>
      </c>
      <c r="B55" t="inlineStr">
        <is>
          <t>Shola</t>
        </is>
      </c>
      <c r="C55" t="inlineStr">
        <is>
          <t>X</t>
        </is>
      </c>
      <c r="D55" t="inlineStr">
        <is>
          <t>Tweet</t>
        </is>
      </c>
      <c r="E55">
        <f>HYPERLINK("https://x.com/itsSh0la/status/1627951140041097218","https://x.com/itsSh0la/status/1627951140041097218")</f>
        <v/>
      </c>
      <c r="F55" t="inlineStr">
        <is>
          <t>Critique of men who enable negative behaviors in women by not setting boundaries or respecting themselves, termed 'finished men'.</t>
        </is>
      </c>
      <c r="G55" t="inlineStr">
        <is>
          <t>Y'all finished men are the problem. You're the enablers of all these bs these women be doing. You don't know when to let go of these women most especially when they're not acting right, you don't respect yourself, you position yourself to be used and pressured. Finished men!!!</t>
        </is>
      </c>
      <c r="H55" t="inlineStr">
        <is>
          <t>Y'all finished men are the problem. You're the enablers of all these bs these women be doing. You don't know when to let go of these women most especially when they're not acting right, you don't respect yourself, you position yourself to be used and pressured. Finished men!!!</t>
        </is>
      </c>
      <c r="I55" t="inlineStr">
        <is>
          <t>English</t>
        </is>
      </c>
    </row>
    <row r="56">
      <c r="A56" t="inlineStr">
        <is>
          <t>SHO_055</t>
        </is>
      </c>
      <c r="B56" t="inlineStr">
        <is>
          <t>Shola</t>
        </is>
      </c>
      <c r="C56" t="inlineStr">
        <is>
          <t>X</t>
        </is>
      </c>
      <c r="D56" t="inlineStr">
        <is>
          <t>Tweet</t>
        </is>
      </c>
      <c r="E56">
        <f>HYPERLINK("https://x.com/itsSh0la/status/1627951136610086912","https://x.com/itsSh0la/status/1627951136610086912")</f>
        <v/>
      </c>
      <c r="F56" t="inlineStr">
        <is>
          <t>A man apologizes and gives money to his cheating partner, highlighting manipulation in their two-and-a-half-year relationship.</t>
        </is>
      </c>
      <c r="G56" t="inlineStr">
        <is>
          <t>The guy had to go to her house to apologize, he begged for long and even gave her more money. That's obviously manipulation. This is a two and half year relationship. All this for a girl who was cheating on him as at then.</t>
        </is>
      </c>
      <c r="H56" t="inlineStr">
        <is>
          <t>The guy had to go to her house to apologize, he begged for long and even gave her more money. That's obviously manipulation. This is a two and half year relationship. All this for a girl who was cheating on him as at then.</t>
        </is>
      </c>
      <c r="I56" t="inlineStr">
        <is>
          <t>English</t>
        </is>
      </c>
    </row>
    <row r="57">
      <c r="A57" t="inlineStr">
        <is>
          <t>SHO_056</t>
        </is>
      </c>
      <c r="B57" t="inlineStr">
        <is>
          <t>Shola</t>
        </is>
      </c>
      <c r="C57" t="inlineStr">
        <is>
          <t>X</t>
        </is>
      </c>
      <c r="D57" t="inlineStr">
        <is>
          <t>Tweet</t>
        </is>
      </c>
      <c r="E57">
        <f>HYPERLINK("https://x.com/itsSh0la/status/1627951132671606784","https://x.com/itsSh0la/status/1627951132671606784")</f>
        <v/>
      </c>
      <c r="F57" t="inlineStr">
        <is>
          <t>A woman claims to be a man's girlfriend and refuses to return his money, then blocks him after insulting him.</t>
        </is>
      </c>
      <c r="G57" t="inlineStr">
        <is>
          <t>All of a sudden, she started insulting him, she said she's his girlfriend, she is not meant to give him back the money, that he doesn't deserve to get the money back, went ahead to block him.</t>
        </is>
      </c>
      <c r="H57" t="inlineStr">
        <is>
          <t>Suddenly, she started insulting him, claiming she was his girlfriend and wasn’t obligated to return the money, saying he didn’t deserve to get it back, and then she blocked him.</t>
        </is>
      </c>
      <c r="I57" t="inlineStr">
        <is>
          <t>English</t>
        </is>
      </c>
    </row>
    <row r="58">
      <c r="A58" t="inlineStr">
        <is>
          <t>SHO_057</t>
        </is>
      </c>
      <c r="B58" t="inlineStr">
        <is>
          <t>Shola</t>
        </is>
      </c>
      <c r="C58" t="inlineStr">
        <is>
          <t>X</t>
        </is>
      </c>
      <c r="D58" t="inlineStr">
        <is>
          <t>Tweet</t>
        </is>
      </c>
      <c r="E58">
        <f>HYPERLINK("https://x.com/itsSh0la/status/1627942731166150657","https://x.com/itsSh0la/status/1627942731166150657")</f>
        <v/>
      </c>
      <c r="F58" t="inlineStr">
        <is>
          <t>A man lent 150k from his savings to a woman who promised to repay at month-end when she received her salary.</t>
        </is>
      </c>
      <c r="G58" t="inlineStr">
        <is>
          <t>She promised she will pay at the month end when she gets her salary. He told her he wasn't too buoyant as at then, but he got savings he could spare, she promised to pay back, man removed 150k from his savings for her. It was month end, time to pay back,</t>
        </is>
      </c>
      <c r="H58" t="inlineStr">
        <is>
          <t>She promised to pay him back at the end of the month when she received her salary. He told her he wasn’t very financially stable at that moment but had some savings he could spare. She promised to pay him back, and he took out 150k from his savings for her. It was the end of the month, time to pay back.</t>
        </is>
      </c>
      <c r="I58" t="inlineStr">
        <is>
          <t>English</t>
        </is>
      </c>
    </row>
    <row r="59">
      <c r="A59" t="inlineStr">
        <is>
          <t>SHO_058</t>
        </is>
      </c>
      <c r="B59" t="inlineStr">
        <is>
          <t>Shola</t>
        </is>
      </c>
      <c r="C59" t="inlineStr">
        <is>
          <t>X</t>
        </is>
      </c>
      <c r="D59" t="inlineStr">
        <is>
          <t>Tweet</t>
        </is>
      </c>
      <c r="E59">
        <f>HYPERLINK("https://x.com/itsSh0la/status/1627942727752069120","https://x.com/itsSh0la/status/1627942727752069120")</f>
        <v/>
      </c>
      <c r="F59" t="inlineStr">
        <is>
          <t>A woman frequently advised repaying borrowed money from partners on WhatsApp, yet later received financial support from her partner without asking.</t>
        </is>
      </c>
      <c r="G59" t="inlineStr">
        <is>
          <t>She was always posting on her WhatsApp status saying "if you borrow money from your partner, learn to pay back" which is disrespectful. Fast forward to few years after he's been funding her and giving her money even without asking, She needed about 150k to be precise</t>
        </is>
      </c>
      <c r="H59" t="inlineStr">
        <is>
          <t>She frequently posted on her WhatsApp status saying, "If you borrow money from your partner, learn to pay it back," which is disrespectful. Fast forward a few years, after he had been funding her and giving her money even without asking, she needed about 150k to be precise.</t>
        </is>
      </c>
      <c r="I59" t="inlineStr">
        <is>
          <t>English</t>
        </is>
      </c>
    </row>
    <row r="60">
      <c r="A60" t="inlineStr">
        <is>
          <t>SHO_059</t>
        </is>
      </c>
      <c r="B60" t="inlineStr">
        <is>
          <t>Shola</t>
        </is>
      </c>
      <c r="C60" t="inlineStr">
        <is>
          <t>X</t>
        </is>
      </c>
      <c r="D60" t="inlineStr">
        <is>
          <t>Tweet</t>
        </is>
      </c>
      <c r="E60">
        <f>HYPERLINK("https://x.com/itsSh0la/status/1627942720940433413","https://x.com/itsSh0la/status/1627942720940433413")</f>
        <v/>
      </c>
      <c r="F60" t="inlineStr">
        <is>
          <t>A girl believes Valentine's Day gifts are for women, not men, suggesting men should only receive gifts on their birthdays.</t>
        </is>
      </c>
      <c r="G60" t="inlineStr">
        <is>
          <t>This is a girl who got him nothing for valentine, and she claimed it's only during men birthdays that a woman should gift her man, valentine is for women. He's such a finished man.</t>
        </is>
      </c>
      <c r="H60" t="inlineStr">
        <is>
          <t>This is a girl who didn’t give him anything for Valentine’s Day, claiming that gifts should only be exchanged on men’s birthdays and that Valentine’s Day is for women. He’s such a finished man.</t>
        </is>
      </c>
      <c r="I60" t="inlineStr">
        <is>
          <t>English</t>
        </is>
      </c>
    </row>
    <row r="61">
      <c r="A61" t="inlineStr">
        <is>
          <t>SHO_060</t>
        </is>
      </c>
      <c r="B61" t="inlineStr">
        <is>
          <t>Shola</t>
        </is>
      </c>
      <c r="C61" t="inlineStr">
        <is>
          <t>X</t>
        </is>
      </c>
      <c r="D61" t="inlineStr">
        <is>
          <t>Tweet</t>
        </is>
      </c>
      <c r="E61">
        <f>HYPERLINK("https://x.com/itsSh0la/status/1627942717320843271","https://x.com/itsSh0la/status/1627942717320843271")</f>
        <v/>
      </c>
      <c r="F61" t="inlineStr">
        <is>
          <t>A man was blocked by his girlfriend after gifting her, as she preferred another who bought her friend an iPhone 14.</t>
        </is>
      </c>
      <c r="G61" t="inlineStr">
        <is>
          <t>Real life simp stories that was shared on my space on Saturday. 1. A guy got his girl val gift, she then blocked him cos another guy bought her friend an iPhone 14, saying he knows she's been wanting to change her iPhone X all along. The guy came apologizing to get unblocked.</t>
        </is>
      </c>
      <c r="H61" t="inlineStr">
        <is>
          <t>Real life simp stories that were shared on my space on Saturday. 1. A guy got his girlfriend a Valentine's gift, but she blocked him because another guy bought her friend an iPhone 14, claiming she had been wanting to upgrade from her iPhone X all along. The guy came back apologizing to get unblocked.</t>
        </is>
      </c>
      <c r="I61" t="inlineStr">
        <is>
          <t>English</t>
        </is>
      </c>
    </row>
    <row r="62">
      <c r="A62" t="inlineStr">
        <is>
          <t>SHO_061</t>
        </is>
      </c>
      <c r="B62" t="inlineStr">
        <is>
          <t>Shola</t>
        </is>
      </c>
      <c r="C62" t="inlineStr">
        <is>
          <t>X</t>
        </is>
      </c>
      <c r="D62" t="inlineStr">
        <is>
          <t>Tweet</t>
        </is>
      </c>
      <c r="E62">
        <f>HYPERLINK("https://x.com/itsSh0la/status/1627281039818207234","https://x.com/itsSh0la/status/1627281039818207234")</f>
        <v/>
      </c>
      <c r="F62" t="inlineStr">
        <is>
          <t>The text critiques the notion of 'independent woman' by comparing it to a man claiming independence, suggesting self-sufficiency is a basic adult responsibility.</t>
        </is>
      </c>
      <c r="G62" t="inlineStr">
        <is>
          <t>Imagine a man claiming to be an independent man, you see how stupidd it looks? That's how stupidd it looks when I see a woman say "I'm an independent woman". I mean, you are an adult, it is your duty to take care of yourself, so you're just doing the norms. Nothing special.</t>
        </is>
      </c>
      <c r="H62" t="inlineStr">
        <is>
          <t>Imagine a man claiming to be independent; it looks so foolish, right? That's how foolish it looks when I see a woman say "I'm an independent woman." I mean, you are an adult; it's your responsibility to take care of yourself, so you're just doing what's expected. Nothing special.</t>
        </is>
      </c>
      <c r="I62" t="inlineStr">
        <is>
          <t>Nigerian Pidgin</t>
        </is>
      </c>
    </row>
    <row r="63">
      <c r="A63" t="inlineStr">
        <is>
          <t>SHO_062</t>
        </is>
      </c>
      <c r="B63" t="inlineStr">
        <is>
          <t>Shola</t>
        </is>
      </c>
      <c r="C63" t="inlineStr">
        <is>
          <t>X</t>
        </is>
      </c>
      <c r="D63" t="inlineStr">
        <is>
          <t>Tweet</t>
        </is>
      </c>
      <c r="E63">
        <f>HYPERLINK("https://x.com/itsSh0la/status/1620475128575569921","https://x.com/itsSh0la/status/1620475128575569921")</f>
        <v/>
      </c>
      <c r="F63" t="inlineStr">
        <is>
          <t>The text suggests a belief in male dominance or advantage, implying men will always prevail or benefit in situations.</t>
        </is>
      </c>
      <c r="G63" t="inlineStr">
        <is>
          <t>@EmemXavierAtat We're getting there already. One thing is certain, men will never be on the losing side.</t>
        </is>
      </c>
      <c r="H63" t="inlineStr">
        <is>
          <t>@EmemXavierAtat We're getting there already. One thing is certain, men will never be on the losing side.</t>
        </is>
      </c>
      <c r="I63" t="inlineStr">
        <is>
          <t>English</t>
        </is>
      </c>
    </row>
    <row r="64">
      <c r="A64" t="inlineStr">
        <is>
          <t>SHO_063</t>
        </is>
      </c>
      <c r="B64" t="inlineStr">
        <is>
          <t>Shola</t>
        </is>
      </c>
      <c r="C64" t="inlineStr">
        <is>
          <t>X</t>
        </is>
      </c>
      <c r="D64" t="inlineStr">
        <is>
          <t>Tweet</t>
        </is>
      </c>
      <c r="E64">
        <f>HYPERLINK("https://x.com/itsSh0la/status/1620466505115893760","https://x.com/itsSh0la/status/1620466505115893760")</f>
        <v/>
      </c>
      <c r="F64" t="inlineStr">
        <is>
          <t>Critique of perceived hypocrisy in feminist demands for equality, highlighting financial expectations in relationships within a Nigerian context.</t>
        </is>
      </c>
      <c r="G64" t="inlineStr">
        <is>
          <t>A feminist who wants equality still doesn't want to go 50/50 with her man, a delusional human being. You don't even want the equality you cry for? You want to earn same salary as a man, and still take from his, while he goes broke, and you get richer than him? Selfish!!!</t>
        </is>
      </c>
      <c r="H64" t="inlineStr">
        <is>
          <t>A feminist who wants equality still doesn't want to go 50/50 with her man, a delusional human being. You don't even want the equality you cry for? You want to earn same salary as a man, and still take from his, while he goes broke, and you get richer than him? Selfish!!!</t>
        </is>
      </c>
      <c r="I64" t="inlineStr">
        <is>
          <t>English</t>
        </is>
      </c>
    </row>
    <row r="65">
      <c r="A65" t="inlineStr">
        <is>
          <t>SHO_064</t>
        </is>
      </c>
      <c r="B65" t="inlineStr">
        <is>
          <t>Shola</t>
        </is>
      </c>
      <c r="C65" t="inlineStr">
        <is>
          <t>X</t>
        </is>
      </c>
      <c r="D65" t="inlineStr">
        <is>
          <t>Tweet</t>
        </is>
      </c>
      <c r="E65">
        <f>HYPERLINK("https://x.com/itsSh0la/status/1620386661296381955","https://x.com/itsSh0la/status/1620386661296381955")</f>
        <v/>
      </c>
      <c r="F65" t="inlineStr">
        <is>
          <t>A tweet expressing a negative opinion about Nigerian men's dating skills.</t>
        </is>
      </c>
      <c r="G65" t="inlineStr">
        <is>
          <t>@MindOfHeadking Nigerian men are finished. Majority got no game obviously.</t>
        </is>
      </c>
      <c r="H65" t="inlineStr">
        <is>
          <t>@MindOfHeadking Nigerian men are finished. Majority got no game obviously.</t>
        </is>
      </c>
      <c r="I65" t="inlineStr">
        <is>
          <t>English</t>
        </is>
      </c>
    </row>
    <row r="66">
      <c r="A66" t="inlineStr">
        <is>
          <t>SHO_065</t>
        </is>
      </c>
      <c r="B66" t="inlineStr">
        <is>
          <t>Shola</t>
        </is>
      </c>
      <c r="C66" t="inlineStr">
        <is>
          <t>X</t>
        </is>
      </c>
      <c r="D66" t="inlineStr">
        <is>
          <t>Tweet</t>
        </is>
      </c>
      <c r="E66">
        <f>HYPERLINK("https://x.com/itsSh0la/status/1620377121280659459","https://x.com/itsSh0la/status/1620377121280659459")</f>
        <v/>
      </c>
      <c r="F66" t="inlineStr">
        <is>
          <t>The text reflects on past relationships, emphasizing emotional control to avoid appearing foolish, despite occasional feelings of longing.</t>
        </is>
      </c>
      <c r="G66" t="inlineStr">
        <is>
          <t>I've had women I loved so much and I still let go. Do I regret it? No. Do I miss them? Sometimes, yes. Do I show it? No. You really need to have control over your feelings so you don't end up looking stupid.</t>
        </is>
      </c>
      <c r="H66" t="inlineStr">
        <is>
          <t>I've loved women deeply and still let them go. Do I regret it? No. Do I miss them? Sometimes, yes. Do I show it? No. You really need to control your feelings so you don't end up looking foolish.</t>
        </is>
      </c>
      <c r="I66" t="inlineStr">
        <is>
          <t>English</t>
        </is>
      </c>
    </row>
    <row r="67">
      <c r="A67" t="inlineStr">
        <is>
          <t>SHO_066</t>
        </is>
      </c>
      <c r="B67" t="inlineStr">
        <is>
          <t>Shola</t>
        </is>
      </c>
      <c r="C67" t="inlineStr">
        <is>
          <t>X</t>
        </is>
      </c>
      <c r="D67" t="inlineStr">
        <is>
          <t>Tweet</t>
        </is>
      </c>
      <c r="E67">
        <f>HYPERLINK("https://x.com/itsSh0la/status/1620034619918921734","https://x.com/itsSh0la/status/1620034619918921734")</f>
        <v/>
      </c>
      <c r="F67" t="inlineStr">
        <is>
          <t>A critique of male behavior in relationships, highlighting desperation through actions like excessive texting, financial persuasion, and self-sacrifice for female approval.</t>
        </is>
      </c>
      <c r="G67" t="inlineStr">
        <is>
          <t>A desperate man will always: - Double text a woman. - Use money to buy affection. - Apologize when she's wrong. - Beg a woman to stay in his life. - Endure the toxicity coming from the woman he's with. - Displease himself to please a woman. - Be a YES MAN. Don't be that guy.</t>
        </is>
      </c>
      <c r="H67" t="inlineStr">
        <is>
          <t>A desperate man will always: - Double text a woman. - Use money to buy affection. - Apologize when she's wrong. - Beg a woman to stay in his life. - Endure the toxicity from the woman he's with. - Displease himself to please a woman. - Be a YES MAN. Don't be that guy.</t>
        </is>
      </c>
      <c r="I67" t="inlineStr">
        <is>
          <t>English</t>
        </is>
      </c>
    </row>
    <row r="68">
      <c r="A68" t="inlineStr">
        <is>
          <t>SHO_067</t>
        </is>
      </c>
      <c r="B68" t="inlineStr">
        <is>
          <t>Shola</t>
        </is>
      </c>
      <c r="C68" t="inlineStr">
        <is>
          <t>X</t>
        </is>
      </c>
      <c r="D68" t="inlineStr">
        <is>
          <t>Tweet</t>
        </is>
      </c>
      <c r="E68">
        <f>HYPERLINK("https://x.com/itsSh0la/status/1619354933362569220","https://x.com/itsSh0la/status/1619354933362569220")</f>
        <v/>
      </c>
      <c r="F68" t="inlineStr">
        <is>
          <t>The text emphasizes perseverance and emotional resilience as key traits for achieving goals, highlighting a cultural view of masculinity in Nigeria.</t>
        </is>
      </c>
      <c r="G68" t="inlineStr">
        <is>
          <t>You need to always put your feelings aside when it comes to going after what you want. When it's convenient for you, work. When it's inconvenient, work. That's what makes you a man, the fact that you can always put your feelings aside &amp; still get the job done. Nothing comes easy.</t>
        </is>
      </c>
      <c r="H68" t="inlineStr">
        <is>
          <t>You need to always put your feelings aside when it comes to going after what you want. When it's convenient for you, work. When it's inconvenient, work. That's what makes you a man, the fact that you can always put your feelings aside &amp; still get the job done. Nothing comes easy.</t>
        </is>
      </c>
      <c r="I68" t="inlineStr">
        <is>
          <t>English</t>
        </is>
      </c>
    </row>
    <row r="69">
      <c r="A69" t="inlineStr">
        <is>
          <t>SHO_068</t>
        </is>
      </c>
      <c r="B69" t="inlineStr">
        <is>
          <t>Shola</t>
        </is>
      </c>
      <c r="C69" t="inlineStr">
        <is>
          <t>X</t>
        </is>
      </c>
      <c r="D69" t="inlineStr">
        <is>
          <t>Tweet</t>
        </is>
      </c>
      <c r="E69">
        <f>HYPERLINK("https://x.com/itsSh0la/status/1619000891243372544","https://x.com/itsSh0la/status/1619000891243372544")</f>
        <v/>
      </c>
      <c r="F69" t="inlineStr">
        <is>
          <t>In Nigerian dating culture, women may request transport fare from men, but genuinely interested women will find their own way to meet.</t>
        </is>
      </c>
      <c r="G69" t="inlineStr">
        <is>
          <t>Every woman has transport fare if she really wants to see you. You only send transport fare to women who aren't craving to see you.</t>
        </is>
      </c>
      <c r="H69" t="inlineStr">
        <is>
          <t>Every woman has transport fare if she really wants to see you. You only send transport fare to women who aren't eager to see you.</t>
        </is>
      </c>
      <c r="I69" t="inlineStr">
        <is>
          <t>English</t>
        </is>
      </c>
    </row>
    <row r="70">
      <c r="A70" t="inlineStr">
        <is>
          <t>SHO_069</t>
        </is>
      </c>
      <c r="B70" t="inlineStr">
        <is>
          <t>Shola</t>
        </is>
      </c>
      <c r="C70" t="inlineStr">
        <is>
          <t>X</t>
        </is>
      </c>
      <c r="D70" t="inlineStr">
        <is>
          <t>Tweet</t>
        </is>
      </c>
      <c r="E70">
        <f>HYPERLINK("https://x.com/itsSh0la/status/1618655300382511105","https://x.com/itsSh0la/status/1618655300382511105")</f>
        <v/>
      </c>
      <c r="F70" t="inlineStr">
        <is>
          <t>In Nigeria, women often attribute financial struggles to not having a boyfriend, highlighting societal expectations and gender dynamics.</t>
        </is>
      </c>
      <c r="G70" t="inlineStr">
        <is>
          <t>Ask women "why are you broke?" and they'd tell you it's because they don't have a boyfriend. Men are really suffering.</t>
        </is>
      </c>
      <c r="H70" t="inlineStr">
        <is>
          <t>Ask women "why are you broke?" and they'd tell you it's because they don't have a boyfriend. Men are really suffering.</t>
        </is>
      </c>
      <c r="I70" t="inlineStr">
        <is>
          <t>English</t>
        </is>
      </c>
    </row>
    <row r="71">
      <c r="A71" t="inlineStr">
        <is>
          <t>SHO_070</t>
        </is>
      </c>
      <c r="B71" t="inlineStr">
        <is>
          <t>Shola</t>
        </is>
      </c>
      <c r="C71" t="inlineStr">
        <is>
          <t>X</t>
        </is>
      </c>
      <c r="D71" t="inlineStr">
        <is>
          <t>Tweet</t>
        </is>
      </c>
      <c r="E71">
        <f>HYPERLINK("https://x.com/itsSh0la/status/1618258019317604355","https://x.com/itsSh0la/status/1618258019317604355")</f>
        <v/>
      </c>
      <c r="F71" t="inlineStr">
        <is>
          <t>Advice for men to reject financial responsibility for entitled women, suggesting women should fend for themselves through begging or other means.</t>
        </is>
      </c>
      <c r="G71" t="inlineStr">
        <is>
          <t>Kings, Never be ashamed for being unable to carry financial burdens which isn't yours, learn to put entitled women in their space. They should be on the street either carrying a gvn or a bowl, stick and black shade on begging to make ends meet.</t>
        </is>
      </c>
      <c r="H71" t="inlineStr">
        <is>
          <t>Kings, Never be ashamed for being unable to carry financial burdens which isn't yours, learn to put entitled women in their space. They should be on the street either carrying a gvn or a bowl, stick and black shade on begging to make ends meet.</t>
        </is>
      </c>
      <c r="I71" t="inlineStr">
        <is>
          <t>English</t>
        </is>
      </c>
    </row>
    <row r="72">
      <c r="A72" t="inlineStr">
        <is>
          <t>SHO_071</t>
        </is>
      </c>
      <c r="B72" t="inlineStr">
        <is>
          <t>Shola</t>
        </is>
      </c>
      <c r="C72" t="inlineStr">
        <is>
          <t>X</t>
        </is>
      </c>
      <c r="D72" t="inlineStr">
        <is>
          <t>Tweet</t>
        </is>
      </c>
      <c r="E72">
        <f>HYPERLINK("https://x.com/itsSh0la/status/1618256715186831361","https://x.com/itsSh0la/status/1618256715186831361")</f>
        <v/>
      </c>
      <c r="F72" t="inlineStr">
        <is>
          <t>A girl criticizes a guy's car despite her lower status, highlighting audacity and social dynamics in Nigerian gender interactions.</t>
        </is>
      </c>
      <c r="G72" t="inlineStr">
        <is>
          <t>A girl who can't afford to buy skateboard will tell a guy who drives Camry "look at what you're driving" and he'd feel ashamed. Some will even say "the guys that carry me drive bigger cars and are above your level". A girl who is obviously below your class. Women are audacious.</t>
        </is>
      </c>
      <c r="H72" t="inlineStr">
        <is>
          <t>A girl who can't afford to buy skateboard will tell a guy who drives Camry "look at what you're driving" and he'd feel ashamed. Some will even say "the guys that carry me drive bigger cars and are above your level". A girl who is obviously below your class. Women are audacious.</t>
        </is>
      </c>
      <c r="I72" t="inlineStr">
        <is>
          <t>English</t>
        </is>
      </c>
    </row>
    <row r="73">
      <c r="A73" t="inlineStr">
        <is>
          <t>SHO_072</t>
        </is>
      </c>
      <c r="B73" t="inlineStr">
        <is>
          <t>Shola</t>
        </is>
      </c>
      <c r="C73" t="inlineStr">
        <is>
          <t>X</t>
        </is>
      </c>
      <c r="D73" t="inlineStr">
        <is>
          <t>Tweet</t>
        </is>
      </c>
      <c r="E73">
        <f>HYPERLINK("https://x.com/itsSh0la/status/1618239180903174149","https://x.com/itsSh0la/status/1618239180903174149")</f>
        <v/>
      </c>
      <c r="F73" t="inlineStr">
        <is>
          <t>The text suggests that a girl with a certain mindset is considered problematic or 'damaged,' indicating a negative judgment or stereotype.</t>
        </is>
      </c>
      <c r="G73" t="inlineStr">
        <is>
          <t>A girl with such mindset is enough reason to be a red flag, you know she's damaged already.</t>
        </is>
      </c>
      <c r="H73" t="inlineStr">
        <is>
          <t>A girl with that mindset is a definite red flag; you know she's already damaged.</t>
        </is>
      </c>
      <c r="I73" t="inlineStr">
        <is>
          <t>English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content_id</t>
        </is>
      </c>
      <c r="B1" s="1" t="inlineStr">
        <is>
          <t>creator</t>
        </is>
      </c>
      <c r="C1" s="1" t="inlineStr">
        <is>
          <t>platform</t>
        </is>
      </c>
      <c r="D1" s="1" t="inlineStr">
        <is>
          <t>content_type</t>
        </is>
      </c>
      <c r="E1" s="1" t="inlineStr">
        <is>
          <t>source_url</t>
        </is>
      </c>
      <c r="F1" s="1" t="inlineStr">
        <is>
          <t>context</t>
        </is>
      </c>
      <c r="G1" s="1" t="inlineStr">
        <is>
          <t>text_original</t>
        </is>
      </c>
      <c r="H1" s="1" t="inlineStr">
        <is>
          <t>text_english</t>
        </is>
      </c>
      <c r="I1" s="1" t="inlineStr">
        <is>
          <t>language_detected</t>
        </is>
      </c>
    </row>
    <row r="2">
      <c r="A2" t="inlineStr">
        <is>
          <t>WIZ_001</t>
        </is>
      </c>
      <c r="B2" t="inlineStr">
        <is>
          <t>Wizarab</t>
        </is>
      </c>
      <c r="C2" t="inlineStr">
        <is>
          <t>X</t>
        </is>
      </c>
      <c r="D2" t="inlineStr">
        <is>
          <t>Tweet</t>
        </is>
      </c>
      <c r="E2">
        <f>HYPERLINK("https://x.com/Wizarab10/status/1664054075162341376","https://x.com/Wizarab10/status/1664054075162341376")</f>
        <v/>
      </c>
      <c r="F2" t="inlineStr">
        <is>
          <t>The tweet criticizes men who try to 'save' women with a past, implying judgment on their worthiness as partners.</t>
        </is>
      </c>
      <c r="G2"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c r="H2" t="inlineStr">
        <is>
          <t>Every whore has her favorite client. You are hers. You want to save her. Who told you she needs saving? Is your mother's prayers a joke to you? If you marry her, that's your personal problem. Just know that she is the mother of your kids. You accept the love you think you deserve. https://t.co/IG5HyGTaPG</t>
        </is>
      </c>
      <c r="I2" t="inlineStr">
        <is>
          <t>Nigerian Pidgin</t>
        </is>
      </c>
    </row>
    <row r="3">
      <c r="A3" t="inlineStr">
        <is>
          <t>WIZ_002</t>
        </is>
      </c>
      <c r="B3" t="inlineStr">
        <is>
          <t>Wizarab</t>
        </is>
      </c>
      <c r="C3" t="inlineStr">
        <is>
          <t>X</t>
        </is>
      </c>
      <c r="D3" t="inlineStr">
        <is>
          <t>Tweet</t>
        </is>
      </c>
      <c r="E3">
        <f>HYPERLINK("https://x.com/Wizarab10/status/1664050449861734417","https://x.com/Wizarab10/status/1664050449861734417")</f>
        <v/>
      </c>
      <c r="F3" t="inlineStr">
        <is>
          <t>The tweet advises men to discard women who are not prioritizing them, referencing hypergamy.</t>
        </is>
      </c>
      <c r="G3" t="inlineStr">
        <is>
          <t>Hypergamy. You're not her favourite option. Throw her away and stop giving her attention. BLOCK her https://t.co/gVijskvV3z</t>
        </is>
      </c>
      <c r="H3" t="inlineStr">
        <is>
          <t>Hypergamy. You're not her favourite option. Throw her away and stop giving her attention. BLOCK her https://t.co/gVijskvV3z</t>
        </is>
      </c>
      <c r="I3" t="inlineStr">
        <is>
          <t>English</t>
        </is>
      </c>
    </row>
    <row r="4">
      <c r="A4" t="inlineStr">
        <is>
          <t>WIZ_003</t>
        </is>
      </c>
      <c r="B4" t="inlineStr">
        <is>
          <t>Wizarab</t>
        </is>
      </c>
      <c r="C4" t="inlineStr">
        <is>
          <t>X</t>
        </is>
      </c>
      <c r="D4" t="inlineStr">
        <is>
          <t>Tweet</t>
        </is>
      </c>
      <c r="E4">
        <f>HYPERLINK("https://x.com/Wizarab10/status/1664023601756897280","https://x.com/Wizarab10/status/1664023601756897280")</f>
        <v/>
      </c>
      <c r="F4" t="inlineStr">
        <is>
          <t>Criticizes those who police virgins while freely discussing sex, suggesting a double standard and anti-feminist sentiment.</t>
        </is>
      </c>
      <c r="G4"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H4"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I4" t="inlineStr">
        <is>
          <t>English</t>
        </is>
      </c>
    </row>
    <row r="5">
      <c r="A5" t="inlineStr">
        <is>
          <t>WIZ_004</t>
        </is>
      </c>
      <c r="B5" t="inlineStr">
        <is>
          <t>Wizarab</t>
        </is>
      </c>
      <c r="C5" t="inlineStr">
        <is>
          <t>X</t>
        </is>
      </c>
      <c r="D5" t="inlineStr">
        <is>
          <t>Tweet</t>
        </is>
      </c>
      <c r="E5">
        <f>HYPERLINK("https://x.com/Wizarab10/status/1663879826623610881","https://x.com/Wizarab10/status/1663879826623610881")</f>
        <v/>
      </c>
      <c r="F5" t="inlineStr">
        <is>
          <t>Questions interest in women who twerk publicly, suggesting selective dating standards and anti-feminist views.</t>
        </is>
      </c>
      <c r="G5"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H5"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I5" t="inlineStr">
        <is>
          <t>English</t>
        </is>
      </c>
    </row>
    <row r="6">
      <c r="A6" t="inlineStr">
        <is>
          <t>WIZ_005</t>
        </is>
      </c>
      <c r="B6" t="inlineStr">
        <is>
          <t>Wizarab</t>
        </is>
      </c>
      <c r="C6" t="inlineStr">
        <is>
          <t>X</t>
        </is>
      </c>
      <c r="D6" t="inlineStr">
        <is>
          <t>Tweet</t>
        </is>
      </c>
      <c r="E6">
        <f>HYPERLINK("https://x.com/Wizarab10/status/1663878777707847682","https://x.com/Wizarab10/status/1663878777707847682")</f>
        <v/>
      </c>
      <c r="F6" t="inlineStr">
        <is>
          <t>Criticizes leaving a partner for socioeconomic advancement, highlighting relationship and status dynamics.</t>
        </is>
      </c>
      <c r="G6" t="inlineStr">
        <is>
          <t>Life don better for you and you want to dump him because "we are not on the same level." He has done a lot but he should go and get his type because you want to shoot up. SMH You're not a good person. It is what it is sha. https://t.co/tSnnFKrbwb</t>
        </is>
      </c>
      <c r="H6" t="inlineStr">
        <is>
          <t>Life has gotten better for you, and you want to dump him because "we are not on the same level." He has done a lot, but you think he should go find someone like him because you want to move up. SMH You're not a good person. It is what it is.</t>
        </is>
      </c>
      <c r="I6" t="inlineStr">
        <is>
          <t>Nigerian Pidgin</t>
        </is>
      </c>
    </row>
    <row r="7">
      <c r="A7" t="inlineStr">
        <is>
          <t>WIZ_006</t>
        </is>
      </c>
      <c r="B7" t="inlineStr">
        <is>
          <t>Wizarab</t>
        </is>
      </c>
      <c r="C7" t="inlineStr">
        <is>
          <t>X</t>
        </is>
      </c>
      <c r="D7" t="inlineStr">
        <is>
          <t>Tweet</t>
        </is>
      </c>
      <c r="E7">
        <f>HYPERLINK("https://x.com/Wizarab10/status/1663864642567917569","https://x.com/Wizarab10/status/1663864642567917569")</f>
        <v/>
      </c>
      <c r="F7" t="inlineStr">
        <is>
          <t>Wizarab discusses the importance of decisiveness in relationships to avoid becoming a side partner to an ex.</t>
        </is>
      </c>
      <c r="G7"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H7"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I7" t="inlineStr">
        <is>
          <t>English</t>
        </is>
      </c>
    </row>
    <row r="8">
      <c r="A8" t="inlineStr">
        <is>
          <t>WIZ_007</t>
        </is>
      </c>
      <c r="B8" t="inlineStr">
        <is>
          <t>Wizarab</t>
        </is>
      </c>
      <c r="C8" t="inlineStr">
        <is>
          <t>X</t>
        </is>
      </c>
      <c r="D8" t="inlineStr">
        <is>
          <t>Tweet</t>
        </is>
      </c>
      <c r="E8">
        <f>HYPERLINK("https://x.com/Wizarab10/status/1663863231159345154","https://x.com/Wizarab10/status/1663863231159345154")</f>
        <v/>
      </c>
      <c r="F8" t="inlineStr">
        <is>
          <t>Wizarab criticizes women who pursue men already in relationships, questioning their expectations for commitment. 'Knack' means 'have sex', 'babe' refers to a girlfriend, and 'dey play' means 'keep dreaming'.</t>
        </is>
      </c>
      <c r="G8" t="inlineStr">
        <is>
          <t>You go knack [have sex] abi [or] you no go knack [not have sex]? Since you know he has a babe [girlfriend], why are you talking to him a lot? You want him to define what you have when you know he has a babe. What else is there to define? You are hoping he leaves his babe for you one day. Dey play [keep dreaming] https://t.co/M5VUdORRxp</t>
        </is>
      </c>
      <c r="H8" t="inlineStr">
        <is>
          <t>Are you going to have sex or not? Since you know he has a girlfriend, why are you talking to him so much? You want him to define what you have when you know he has a girlfriend. What else is there to define? You are hoping he leaves his girlfriend for you one day. Keep dreaming. https://t.co/M5VUdORRxp</t>
        </is>
      </c>
      <c r="I8" t="inlineStr">
        <is>
          <t>Nigerian Pidgin</t>
        </is>
      </c>
    </row>
    <row r="9">
      <c r="A9" t="inlineStr">
        <is>
          <t>WIZ_008</t>
        </is>
      </c>
      <c r="B9" t="inlineStr">
        <is>
          <t>Wizarab</t>
        </is>
      </c>
      <c r="C9" t="inlineStr">
        <is>
          <t>X</t>
        </is>
      </c>
      <c r="D9" t="inlineStr">
        <is>
          <t>Tweet</t>
        </is>
      </c>
      <c r="E9">
        <f>HYPERLINK("https://x.com/Wizarab10/status/1663849151526850561","https://x.com/Wizarab10/status/1663849151526850561")</f>
        <v/>
      </c>
      <c r="F9" t="inlineStr">
        <is>
          <t>Wizarab questions why manipulation works in relationships, implying personal responsibility in consenting to sex.</t>
        </is>
      </c>
      <c r="G9" t="inlineStr">
        <is>
          <t>Why is the manipulation working? Nobody can manipulate you without your say so. You consented to the sex. What is her end game since you know it is manipulation https://t.co/s2Ws3YaEda</t>
        </is>
      </c>
      <c r="H9" t="inlineStr">
        <is>
          <t>Why is the manipulation working? Nobody can manipulate you without your consent. You agreed to the sex. What is her end game since you know it is manipulation?</t>
        </is>
      </c>
      <c r="I9" t="inlineStr">
        <is>
          <t>English</t>
        </is>
      </c>
    </row>
    <row r="10">
      <c r="A10" t="inlineStr">
        <is>
          <t>WIZ_009</t>
        </is>
      </c>
      <c r="B10" t="inlineStr">
        <is>
          <t>Wizarab</t>
        </is>
      </c>
      <c r="C10" t="inlineStr">
        <is>
          <t>X</t>
        </is>
      </c>
      <c r="D10" t="inlineStr">
        <is>
          <t>Tweet</t>
        </is>
      </c>
      <c r="E10">
        <f>HYPERLINK("https://x.com/Wizarab10/status/1663681443803930624","https://x.com/Wizarab10/status/1663681443803930624")</f>
        <v/>
      </c>
      <c r="F10" t="inlineStr">
        <is>
          <t>Wizarab condemns sleeping with a host's wife as disrespectful and advises leaving such a situation.</t>
        </is>
      </c>
      <c r="G10" t="inlineStr">
        <is>
          <t>To sleep with the wife of a man offering you shelter is an insult and gross disrespect. You should leave that house immediately. https://t.co/0UlnzvlNPz</t>
        </is>
      </c>
      <c r="H10" t="inlineStr">
        <is>
          <t>To sleep with the wife of a man offering you shelter is an insult and gross disrespect. You should leave that house immediately. https://t.co/0UlnzvlNPz</t>
        </is>
      </c>
      <c r="I10" t="inlineStr">
        <is>
          <t>English</t>
        </is>
      </c>
    </row>
    <row r="11">
      <c r="A11" t="inlineStr">
        <is>
          <t>WIZ_014</t>
        </is>
      </c>
      <c r="B11" t="inlineStr">
        <is>
          <t>Wizarab</t>
        </is>
      </c>
      <c r="C11" t="inlineStr">
        <is>
          <t>X</t>
        </is>
      </c>
      <c r="D11" t="inlineStr">
        <is>
          <t>Tweet</t>
        </is>
      </c>
      <c r="E11">
        <f>HYPERLINK("https://x.com/Wizarab10/status/1652792458181263360","https://x.com/Wizarab10/status/1652792458181263360")</f>
        <v/>
      </c>
      <c r="F11" t="inlineStr">
        <is>
          <t>The tweet suggests women should always desire sex if they love their partner, implying blame on women for sexual dissatisfaction.</t>
        </is>
      </c>
      <c r="G11"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c r="H11" t="inlineStr">
        <is>
          <t>It's sad how many of you are sexually starved in committed relationships. Guys, know this: women love sex a lot, and a woman who loves you will always want to be intimate with you. Women love to be desired and have their bodies cherished. If she is starving you, my brother, RUN.</t>
        </is>
      </c>
      <c r="I11" t="inlineStr">
        <is>
          <t>English</t>
        </is>
      </c>
    </row>
    <row r="12">
      <c r="A12" t="inlineStr">
        <is>
          <t>WIZ_010</t>
        </is>
      </c>
      <c r="B12" t="inlineStr">
        <is>
          <t>Wizarab</t>
        </is>
      </c>
      <c r="C12" t="inlineStr">
        <is>
          <t>X</t>
        </is>
      </c>
      <c r="D12" t="inlineStr">
        <is>
          <t>Tweet</t>
        </is>
      </c>
      <c r="E12">
        <f>HYPERLINK("https://x.com/Wizarab10/status/1652789430443180032","https://x.com/Wizarab10/status/1652789430443180032")</f>
        <v/>
      </c>
      <c r="F12" t="inlineStr">
        <is>
          <t>The tweet narrates a story of a man leaving his marriage due to lack of sex, highlighting sexual expectations in relationships.</t>
        </is>
      </c>
      <c r="G12" t="inlineStr">
        <is>
          <t>After a 3 year celibate relationship, he married his Ex but she was starving him of sex. Man left the marriage after a year to enjoy regular sex. https://t.co/JdS9ViO5xk</t>
        </is>
      </c>
      <c r="H12" t="inlineStr">
        <is>
          <t>After a 3-year celibate relationship, he married his ex, but she was denying him sex. The man left the marriage after a year to enjoy regular sex.</t>
        </is>
      </c>
      <c r="I12" t="inlineStr">
        <is>
          <t>English</t>
        </is>
      </c>
    </row>
    <row r="13">
      <c r="A13" t="inlineStr">
        <is>
          <t>WIZ_011</t>
        </is>
      </c>
      <c r="B13" t="inlineStr">
        <is>
          <t>Wizarab</t>
        </is>
      </c>
      <c r="C13" t="inlineStr">
        <is>
          <t>X</t>
        </is>
      </c>
      <c r="D13" t="inlineStr">
        <is>
          <t>Tweet</t>
        </is>
      </c>
      <c r="E13">
        <f>HYPERLINK("https://x.com/Wizarab10/status/1652786591478194176","https://x.com/Wizarab10/status/1652786591478194176")</f>
        <v/>
      </c>
      <c r="F13" t="inlineStr">
        <is>
          <t>The tweet describes a man justifying infidelity due to sexual deprivation in marriage, emphasizing sexual entitlement.</t>
        </is>
      </c>
      <c r="G13"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c r="H13" t="inlineStr">
        <is>
          <t>His wife is depriving him of sex. He got a girlfriend, and when she found out, he ended it after she promised to change. She didn't, and now he is starving again. He has vowed to get another girlfriend and doesn't care if the wife knows about it because he won't even hide it.</t>
        </is>
      </c>
      <c r="I13" t="inlineStr">
        <is>
          <t>English</t>
        </is>
      </c>
    </row>
    <row r="14">
      <c r="A14" t="inlineStr">
        <is>
          <t>WIZ_012</t>
        </is>
      </c>
      <c r="B14" t="inlineStr">
        <is>
          <t>Wizarab</t>
        </is>
      </c>
      <c r="C14" t="inlineStr">
        <is>
          <t>X</t>
        </is>
      </c>
      <c r="D14" t="inlineStr">
        <is>
          <t>Tweet</t>
        </is>
      </c>
      <c r="E14">
        <f>HYPERLINK("https://x.com/Wizarab10/status/1652778262702039048","https://x.com/Wizarab10/status/1652778262702039048")</f>
        <v/>
      </c>
      <c r="F14" t="inlineStr">
        <is>
          <t>The tweet tells a story of betrayal by a woman and a friend, portraying women as deceitful and harmful.</t>
        </is>
      </c>
      <c r="G14"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c r="H14" t="inlineStr">
        <is>
          <t>Now this is trauma. Unknown to him, his ex and his best friend were dating, and she conspired with the best friend to ruin him. She not only broke his heart but also wrecked him financially all because he trusted her. He has now fallen from grace to grass.</t>
        </is>
      </c>
      <c r="I14" t="inlineStr">
        <is>
          <t>English</t>
        </is>
      </c>
    </row>
    <row r="15">
      <c r="A15" t="inlineStr">
        <is>
          <t>WIZ_013</t>
        </is>
      </c>
      <c r="B15" t="inlineStr">
        <is>
          <t>Wizarab</t>
        </is>
      </c>
      <c r="C15" t="inlineStr">
        <is>
          <t>X</t>
        </is>
      </c>
      <c r="D15" t="inlineStr">
        <is>
          <t>Tweet</t>
        </is>
      </c>
      <c r="E15">
        <f>HYPERLINK("https://x.com/Wizarab10/status/1652775309014446081","https://x.com/Wizarab10/status/1652775309014446081")</f>
        <v/>
      </c>
      <c r="F15" t="inlineStr">
        <is>
          <t>The tweet discusses a man's dissatisfaction with sex in a long-term marriage, highlighting sexual expectations.</t>
        </is>
      </c>
      <c r="G15"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c r="H15" t="inlineStr">
        <is>
          <t>He has been married for almost 10 years and was in a celibate courtship for almost 11 years prior. The only time he enjoyed sex during his marriage was when the wife was pregnant because she thought it would aid delivery. He is sex-starved.</t>
        </is>
      </c>
      <c r="I15" t="inlineStr">
        <is>
          <t>English</t>
        </is>
      </c>
    </row>
    <row r="16">
      <c r="A16" t="inlineStr">
        <is>
          <t>WIZ_015</t>
        </is>
      </c>
      <c r="B16" t="inlineStr">
        <is>
          <t>Wizarab</t>
        </is>
      </c>
      <c r="C16" t="inlineStr">
        <is>
          <t>X</t>
        </is>
      </c>
      <c r="D16" t="inlineStr">
        <is>
          <t>Tweet</t>
        </is>
      </c>
      <c r="E16">
        <f>HYPERLINK("https://x.com/Wizarab10/status/1652758073541292032","https://x.com/Wizarab10/status/1652758073541292032")</f>
        <v/>
      </c>
      <c r="F16" t="inlineStr">
        <is>
          <t>The tweet dismisses a woman's perspective on sex, emphasizing male sexual desires over family or consequences.</t>
        </is>
      </c>
      <c r="G16" t="inlineStr">
        <is>
          <t>@Tuwailuv @SonayanAjose No it isn't. He wants sex not a family. How many people have you pregnant educated or contracted STD from?</t>
        </is>
      </c>
      <c r="H16" t="inlineStr">
        <is>
          <t>@Tuwailuv @SonayanAjose No it isn't. He wants sex not a family. How many people have you pregnant educated or contracted STD from?</t>
        </is>
      </c>
      <c r="I16" t="inlineStr">
        <is>
          <t>English</t>
        </is>
      </c>
    </row>
    <row r="17">
      <c r="A17" t="inlineStr">
        <is>
          <t>WIZ_016</t>
        </is>
      </c>
      <c r="B17" t="inlineStr">
        <is>
          <t>Wizarab</t>
        </is>
      </c>
      <c r="C17" t="inlineStr">
        <is>
          <t>X</t>
        </is>
      </c>
      <c r="D17" t="inlineStr">
        <is>
          <t>Tweet</t>
        </is>
      </c>
      <c r="E17">
        <f>HYPERLINK("https://x.com/Wizarab10/status/1652730128177278980","https://x.com/Wizarab10/status/1652730128177278980")</f>
        <v/>
      </c>
      <c r="F17" t="inlineStr">
        <is>
          <t>The tweet suggests that if a husband doesn't initiate sex, it won't happen, implying traditional gender roles in marriage.</t>
        </is>
      </c>
      <c r="G17" t="inlineStr">
        <is>
          <t>If he doesn't initiate sex, he won't have sex with the wife. https://t.co/WSTcxv1CZl</t>
        </is>
      </c>
      <c r="H17" t="inlineStr">
        <is>
          <t>If he doesn't initiate sex, he won't have sex with the wife. https://t.co/WSTcxv1CZl</t>
        </is>
      </c>
      <c r="I17" t="inlineStr">
        <is>
          <t>English</t>
        </is>
      </c>
    </row>
    <row r="18">
      <c r="A18" t="inlineStr">
        <is>
          <t>WIZ_017</t>
        </is>
      </c>
      <c r="B18" t="inlineStr">
        <is>
          <t>Wizarab</t>
        </is>
      </c>
      <c r="C18" t="inlineStr">
        <is>
          <t>X</t>
        </is>
      </c>
      <c r="D18" t="inlineStr">
        <is>
          <t>Tweet</t>
        </is>
      </c>
      <c r="E18">
        <f>HYPERLINK("https://x.com/Wizarab10/status/1652653921628823554","https://x.com/Wizarab10/status/1652653921628823554")</f>
        <v/>
      </c>
      <c r="F18" t="inlineStr">
        <is>
          <t>The tweet discusses consensual non-monogamy, comparing it to an open book exam, and differentiates it from cheating.</t>
        </is>
      </c>
      <c r="G18" t="inlineStr">
        <is>
          <t>@SonayanAjose He wants sex not another family. It is not cheating if your partner consents to it. Cheating is doing it behind their back. Sneaking a book into an exam hall is cheating. But an open book exam is not cheating.</t>
        </is>
      </c>
      <c r="H18" t="inlineStr">
        <is>
          <t>@SonayanAjose He wants sex not another family. It is not cheating if your partner consents to it. Cheating is doing it behind their back. Sneaking a book into an exam hall is cheating. But an open book exam is not cheating.</t>
        </is>
      </c>
      <c r="I18" t="inlineStr">
        <is>
          <t>English</t>
        </is>
      </c>
    </row>
    <row r="19">
      <c r="A19" t="inlineStr">
        <is>
          <t>WIZ_018</t>
        </is>
      </c>
      <c r="B19" t="inlineStr">
        <is>
          <t>Wizarab</t>
        </is>
      </c>
      <c r="C19" t="inlineStr">
        <is>
          <t>X</t>
        </is>
      </c>
      <c r="D19" t="inlineStr">
        <is>
          <t>Tweet</t>
        </is>
      </c>
      <c r="E19">
        <f>HYPERLINK("https://x.com/Wizarab10/status/1652637832043790337","https://x.com/Wizarab10/status/1652637832043790337")</f>
        <v/>
      </c>
      <c r="F19" t="inlineStr">
        <is>
          <t>The tweet criticizes men for accepting subpar relationships and urges them to wake up, implying dissatisfaction with current gender dynamics.</t>
        </is>
      </c>
      <c r="G19" t="inlineStr">
        <is>
          <t>You need to read this. This is one of the most annoying things I've read. But then, we accept the love we think we deserve. You men need to wake up https://t.co/RtewPOJbrp</t>
        </is>
      </c>
      <c r="H19" t="inlineStr">
        <is>
          <t>You need to read this. This is one of the most annoying things I've read. But then, we accept the love we think we deserve. You men need to wake up https://t.co/RtewPOJbrp</t>
        </is>
      </c>
      <c r="I19" t="inlineStr">
        <is>
          <t>English</t>
        </is>
      </c>
    </row>
    <row r="20">
      <c r="A20" t="inlineStr">
        <is>
          <t>WIZ_019</t>
        </is>
      </c>
      <c r="B20" t="inlineStr">
        <is>
          <t>Wizarab</t>
        </is>
      </c>
      <c r="C20" t="inlineStr">
        <is>
          <t>X</t>
        </is>
      </c>
      <c r="D20" t="inlineStr">
        <is>
          <t>Tweet</t>
        </is>
      </c>
      <c r="E20">
        <f>HYPERLINK("https://x.com/Wizarab10/status/1652632250100350977","https://x.com/Wizarab10/status/1652632250100350977")</f>
        <v/>
      </c>
      <c r="F20" t="inlineStr">
        <is>
          <t>The tweet mocks Twitter users for pretending not to perform traditional gender roles like cooking for men.</t>
        </is>
      </c>
      <c r="G20"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H20"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I20" t="inlineStr">
        <is>
          <t>English</t>
        </is>
      </c>
    </row>
    <row r="21">
      <c r="A21" t="inlineStr">
        <is>
          <t>WIZ_020</t>
        </is>
      </c>
      <c r="B21" t="inlineStr">
        <is>
          <t>Wizarab</t>
        </is>
      </c>
      <c r="C21" t="inlineStr">
        <is>
          <t>X</t>
        </is>
      </c>
      <c r="D21" t="inlineStr">
        <is>
          <t>Tweet</t>
        </is>
      </c>
      <c r="E21">
        <f>HYPERLINK("https://x.com/Wizarab10/status/1652613172400988160","https://x.com/Wizarab10/status/1652613172400988160")</f>
        <v/>
      </c>
      <c r="F21" t="inlineStr">
        <is>
          <t>Wizarab suggests that if a partner is aware, seeking sex outside a family isn't cheating, highlighting sexual double standards.</t>
        </is>
      </c>
      <c r="G21" t="inlineStr">
        <is>
          <t>@Only1bigcee He needs sex not a family. It is not cheating if the partner is aware</t>
        </is>
      </c>
      <c r="H21" t="inlineStr">
        <is>
          <t>@Only1bigcee He needs sex not a family. It is not cheating if the partner is aware</t>
        </is>
      </c>
      <c r="I21" t="inlineStr">
        <is>
          <t>English</t>
        </is>
      </c>
    </row>
    <row r="22">
      <c r="A22" t="inlineStr">
        <is>
          <t>WIZ_021</t>
        </is>
      </c>
      <c r="B22" t="inlineStr">
        <is>
          <t>Wizarab</t>
        </is>
      </c>
      <c r="C22" t="inlineStr">
        <is>
          <t>X</t>
        </is>
      </c>
      <c r="D22" t="inlineStr">
        <is>
          <t>Tweet</t>
        </is>
      </c>
      <c r="E22">
        <f>HYPERLINK("https://x.com/Wizarab10/status/1652611840378126336","https://x.com/Wizarab10/status/1652611840378126336")</f>
        <v/>
      </c>
      <c r="F22" t="inlineStr">
        <is>
          <t>Wizarab mocks using sex as leverage in relationships, implying criticism of gendered power dynamics.</t>
        </is>
      </c>
      <c r="G22" t="inlineStr">
        <is>
          <t>LMAO...... The game is the game. Stop using sex as a power move. https://t.co/Dd3PEMufkg</t>
        </is>
      </c>
      <c r="H22" t="inlineStr">
        <is>
          <t>LMAO...... The game is the game. Stop using sex as a power move. https://t.co/Dd3PEMufkg</t>
        </is>
      </c>
      <c r="I22" t="inlineStr">
        <is>
          <t>English</t>
        </is>
      </c>
    </row>
    <row r="23">
      <c r="A23" t="inlineStr">
        <is>
          <t>WIZ_022</t>
        </is>
      </c>
      <c r="B23" t="inlineStr">
        <is>
          <t>Wizarab</t>
        </is>
      </c>
      <c r="C23" t="inlineStr">
        <is>
          <t>X</t>
        </is>
      </c>
      <c r="D23" t="inlineStr">
        <is>
          <t>Tweet</t>
        </is>
      </c>
      <c r="E23">
        <f>HYPERLINK("https://x.com/Wizarab10/status/1652610742292561921","https://x.com/Wizarab10/status/1652610742292561921")</f>
        <v/>
      </c>
      <c r="F23" t="inlineStr">
        <is>
          <t>Wizarab shares a story of a woman opening her marriage due to differing sexual interests, suggesting solutions for sexual mismatches.</t>
        </is>
      </c>
      <c r="G23"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c r="H23" t="inlineStr">
        <is>
          <t>A lady once told me that she opened her marriage because she had little to no interest in sex, and it felt selfish and cruel to let her man go without just because she didn't like sex. That might just be the solution for marriages where only one partner is interested in sex.</t>
        </is>
      </c>
      <c r="I23" t="inlineStr">
        <is>
          <t>English</t>
        </is>
      </c>
    </row>
    <row r="24">
      <c r="A24" t="inlineStr">
        <is>
          <t>WIZ_023</t>
        </is>
      </c>
      <c r="B24" t="inlineStr">
        <is>
          <t>Wizarab</t>
        </is>
      </c>
      <c r="C24" t="inlineStr">
        <is>
          <t>X</t>
        </is>
      </c>
      <c r="D24" t="inlineStr">
        <is>
          <t>Tweet</t>
        </is>
      </c>
      <c r="E24">
        <f>HYPERLINK("https://x.com/Wizarab10/status/1652610743580217344","https://x.com/Wizarab10/status/1652610743580217344")</f>
        <v/>
      </c>
      <c r="F24" t="inlineStr">
        <is>
          <t>Wizarab recounts a woman's rationale for allowing her husband to seek sex elsewhere, highlighting sexual dynamics in marriage.</t>
        </is>
      </c>
      <c r="G24" t="inlineStr">
        <is>
          <t>She told me she wasn't cheating because she didn't need it. She just doesnt like or need sex and it made no sense for another person to starve because of her. Her only demand was that he doesn't share the details with her.</t>
        </is>
      </c>
      <c r="H24" t="inlineStr">
        <is>
          <t>She told me she wasn't cheating because she didn't need it. She just doesn't like or need sex, and it made no sense for another person to suffer because of her. Her only request was that he doesn't share the details with her.</t>
        </is>
      </c>
      <c r="I24" t="inlineStr">
        <is>
          <t>English</t>
        </is>
      </c>
    </row>
    <row r="25">
      <c r="A25" t="inlineStr">
        <is>
          <t>WIZ_024</t>
        </is>
      </c>
      <c r="B25" t="inlineStr">
        <is>
          <t>Wizarab</t>
        </is>
      </c>
      <c r="C25" t="inlineStr">
        <is>
          <t>X</t>
        </is>
      </c>
      <c r="D25" t="inlineStr">
        <is>
          <t>Tweet</t>
        </is>
      </c>
      <c r="E25">
        <f>HYPERLINK("https://x.com/Wizarab10/status/1652606997215182850","https://x.com/Wizarab10/status/1652606997215182850")</f>
        <v/>
      </c>
      <c r="F25" t="inlineStr">
        <is>
          <t>Wizarab comments on widespread sexual frustration in relationships, inviting private messages for discussion.</t>
        </is>
      </c>
      <c r="G25" t="inlineStr">
        <is>
          <t>Today go long [is going to be long] ooo [oh]. Many people are starving and sexually frustrated in their relationship or marriage. Feel free to send a DM</t>
        </is>
      </c>
      <c r="H25" t="inlineStr">
        <is>
          <t>Today is going to be long, oh. Many people are starving and sexually frustrated in their relationships or marriages. Feel free to send a DM.</t>
        </is>
      </c>
      <c r="I25" t="inlineStr">
        <is>
          <t>Mixed (Pidgin + English)</t>
        </is>
      </c>
    </row>
    <row r="26">
      <c r="A26" t="inlineStr">
        <is>
          <t>WIZ_025</t>
        </is>
      </c>
      <c r="B26" t="inlineStr">
        <is>
          <t>Wizarab</t>
        </is>
      </c>
      <c r="C26" t="inlineStr">
        <is>
          <t>X</t>
        </is>
      </c>
      <c r="D26" t="inlineStr">
        <is>
          <t>Tweet</t>
        </is>
      </c>
      <c r="E26">
        <f>HYPERLINK("https://x.com/Wizarab10/status/1652605299235119104","https://x.com/Wizarab10/status/1652605299235119104")</f>
        <v/>
      </c>
      <c r="F26" t="inlineStr">
        <is>
          <t>Critiques women who publicly praise their husbands while being unhappy in marriage, suggesting hypocrisy or deception.</t>
        </is>
      </c>
      <c r="G26" t="inlineStr">
        <is>
          <t>@YhungNathan "MY KING" Her posts were filled with family and lovey-dovey pictures hyping him. Meanwhile, she was dying in the marriage</t>
        </is>
      </c>
      <c r="H26" t="inlineStr">
        <is>
          <t>@YhungNathan "MY KING" Her posts were filled with family and lovey-dovey pictures praising him. Meanwhile, she was suffering in the marriage.</t>
        </is>
      </c>
      <c r="I26" t="inlineStr">
        <is>
          <t>Mixed (Pidgin + English)</t>
        </is>
      </c>
    </row>
    <row r="27">
      <c r="A27" t="inlineStr">
        <is>
          <t>WIZ_026</t>
        </is>
      </c>
      <c r="B27" t="inlineStr">
        <is>
          <t>Wizarab</t>
        </is>
      </c>
      <c r="C27" t="inlineStr">
        <is>
          <t>X</t>
        </is>
      </c>
      <c r="D27" t="inlineStr">
        <is>
          <t>Tweet</t>
        </is>
      </c>
      <c r="E27">
        <f>HYPERLINK("https://x.com/Wizarab10/status/1652604814889570304","https://x.com/Wizarab10/status/1652604814889570304")</f>
        <v/>
      </c>
      <c r="F27" t="inlineStr">
        <is>
          <t>Highlights perceived hypocrisy in women who publicly praise their husbands while being unhappy, focusing on the phrase 'MY KING'.</t>
        </is>
      </c>
      <c r="G27" t="inlineStr">
        <is>
          <t>@SoloJah1 @asaugoch This is not the point. Look at the last word in the tweet. "MY KING" Her posts were filled with family pictures hyping him</t>
        </is>
      </c>
      <c r="H27" t="inlineStr">
        <is>
          <t>@SoloJah1 @asaugoch This is not the point. Look at the last word in the tweet. "MY KING" Her posts were filled with family pictures hyping him</t>
        </is>
      </c>
      <c r="I27" t="inlineStr">
        <is>
          <t>English</t>
        </is>
      </c>
    </row>
    <row r="28">
      <c r="A28" t="inlineStr">
        <is>
          <t>WIZ_027</t>
        </is>
      </c>
      <c r="B28" t="inlineStr">
        <is>
          <t>Wizarab</t>
        </is>
      </c>
      <c r="C28" t="inlineStr">
        <is>
          <t>X</t>
        </is>
      </c>
      <c r="D28" t="inlineStr">
        <is>
          <t>Tweet</t>
        </is>
      </c>
      <c r="E28">
        <f>HYPERLINK("https://x.com/Wizarab10/status/1652603868771938306","https://x.com/Wizarab10/status/1652603868771938306")</f>
        <v/>
      </c>
      <c r="F28" t="inlineStr">
        <is>
          <t>Questions how many times a woman can refuse sex before a man loses interest, implying expectations on women's sexual availability.</t>
        </is>
      </c>
      <c r="G28"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H28" t="inlineStr">
        <is>
          <t>@ariremako01 It's not just about that one instance. How many times in a row will she deny you sex before you completely lose interest in having sex with her? How many times will she refuse and you fall asleep before you lose interest in sex with her?</t>
        </is>
      </c>
      <c r="I28" t="inlineStr">
        <is>
          <t>Mixed (Pidgin + English)</t>
        </is>
      </c>
    </row>
    <row r="29">
      <c r="A29" t="inlineStr">
        <is>
          <t>WIZ_028</t>
        </is>
      </c>
      <c r="B29" t="inlineStr">
        <is>
          <t>Wizarab</t>
        </is>
      </c>
      <c r="C29" t="inlineStr">
        <is>
          <t>X</t>
        </is>
      </c>
      <c r="D29" t="inlineStr">
        <is>
          <t>Tweet</t>
        </is>
      </c>
      <c r="E29">
        <f>HYPERLINK("https://x.com/Wizarab10/status/1652600422668828672","https://x.com/Wizarab10/status/1652600422668828672")</f>
        <v/>
      </c>
      <c r="F29" t="inlineStr">
        <is>
          <t>Mocks Nigerian men for paying women to knack (have sex), suggesting it reflects poorly on men's status and societal norms.</t>
        </is>
      </c>
      <c r="G29" t="inlineStr">
        <is>
          <t>Una [you all] dey para [are acting up] ooo 😂😂😂 But the saddest thing I've heard is Nigerian men paying their babes [girlfriends] to knack [have sex]. There is no low we haven't sunk to in this country.</t>
        </is>
      </c>
      <c r="H29" t="inlineStr">
        <is>
          <t>You all are acting up, oh 😂😂😂 But the saddest thing I've heard is Nigerian men paying their girlfriends to have sex. There is no low we haven't sunk to in this country.</t>
        </is>
      </c>
      <c r="I29" t="inlineStr">
        <is>
          <t>Mixed (Pidgin + English)</t>
        </is>
      </c>
    </row>
    <row r="30">
      <c r="A30" t="inlineStr">
        <is>
          <t>WIZ_029</t>
        </is>
      </c>
      <c r="B30" t="inlineStr">
        <is>
          <t>Wizarab</t>
        </is>
      </c>
      <c r="C30" t="inlineStr">
        <is>
          <t>X</t>
        </is>
      </c>
      <c r="D30" t="inlineStr">
        <is>
          <t>Tweet</t>
        </is>
      </c>
      <c r="E30">
        <f>HYPERLINK("https://x.com/Wizarab10/status/1652597521510744064","https://x.com/Wizarab10/status/1652597521510744064")</f>
        <v/>
      </c>
      <c r="F30" t="inlineStr">
        <is>
          <t>Questions men's patience with sexual rejection from partners, implying expectations on women's sexual availability.</t>
        </is>
      </c>
      <c r="G30" t="inlineStr">
        <is>
          <t>MEN Lets go with this. How many consecutive times would your partner deny you sex because she is not in the mood before you stop initiating sex or blank her sexually?</t>
        </is>
      </c>
      <c r="H30" t="inlineStr">
        <is>
          <t>MEN, let's consider this. How many times in a row would your partner deny you sex because she is not in the mood before you stop initiating sex or become emotionally distant from her?</t>
        </is>
      </c>
      <c r="I30" t="inlineStr">
        <is>
          <t>English</t>
        </is>
      </c>
    </row>
    <row r="31">
      <c r="A31" t="inlineStr">
        <is>
          <t>WIZ_030</t>
        </is>
      </c>
      <c r="B31" t="inlineStr">
        <is>
          <t>Wizarab</t>
        </is>
      </c>
      <c r="C31" t="inlineStr">
        <is>
          <t>X</t>
        </is>
      </c>
      <c r="D31" t="inlineStr">
        <is>
          <t>Tweet</t>
        </is>
      </c>
      <c r="E31">
        <f>HYPERLINK("https://x.com/Wizarab10/status/1641887533855395854","https://x.com/Wizarab10/status/1641887533855395854")</f>
        <v/>
      </c>
      <c r="F31" t="inlineStr">
        <is>
          <t>The tweet discusses personal deal breakers in relationships, specifically addressing infidelity and the importance of honesty.</t>
        </is>
      </c>
      <c r="G31"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H31" t="inlineStr">
        <is>
          <t>If cheating is not a deal breaker for you, that's fine. But you don't have to pretend. I'm sure you have your own deal breakers and enjoy other benefits that work for you in your marriage. You just have to fire the sales girl. She crossed a line. Read @nwaoma007's piece below https://t.co/s1OPQR4cUM</t>
        </is>
      </c>
      <c r="I31" t="inlineStr">
        <is>
          <t>English</t>
        </is>
      </c>
    </row>
    <row r="32">
      <c r="A32" t="inlineStr">
        <is>
          <t>WIZ_031</t>
        </is>
      </c>
      <c r="B32" t="inlineStr">
        <is>
          <t>Wizarab</t>
        </is>
      </c>
      <c r="C32" t="inlineStr">
        <is>
          <t>X</t>
        </is>
      </c>
      <c r="D32" t="inlineStr">
        <is>
          <t>Tweet</t>
        </is>
      </c>
      <c r="E32">
        <f>HYPERLINK("https://x.com/Wizarab10/status/1641855732931756033","https://x.com/Wizarab10/status/1641855732931756033")</f>
        <v/>
      </c>
      <c r="F32" t="inlineStr">
        <is>
          <t>The tweet discusses gender bias in accusations of sexual coercion, suggesting women also engage in coercive behavior.</t>
        </is>
      </c>
      <c r="G32"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H32" t="inlineStr">
        <is>
          <t>The only reason this issue has two sides is that they are only indicting one gender. But if we look at it critically, you can't tell who begs for sex more because women are begging a lot. This begging you want to turn into a criminal offense will soon lead to financial coercion.</t>
        </is>
      </c>
      <c r="I32" t="inlineStr">
        <is>
          <t>Mixed (Pidgin + English)</t>
        </is>
      </c>
    </row>
    <row r="33">
      <c r="A33" t="inlineStr">
        <is>
          <t>WIZ_032</t>
        </is>
      </c>
      <c r="B33" t="inlineStr">
        <is>
          <t>Wizarab</t>
        </is>
      </c>
      <c r="C33" t="inlineStr">
        <is>
          <t>X</t>
        </is>
      </c>
      <c r="D33" t="inlineStr">
        <is>
          <t>Tweet</t>
        </is>
      </c>
      <c r="E33">
        <f>HYPERLINK("https://x.com/Wizarab10/status/1641800899814121474","https://x.com/Wizarab10/status/1641800899814121474")</f>
        <v/>
      </c>
      <c r="F33" t="inlineStr">
        <is>
          <t>The tweet advises against sex on the first date to avoid clouded judgment, emphasizing commitment before intimacy.</t>
        </is>
      </c>
      <c r="G33"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H33"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I33" t="inlineStr">
        <is>
          <t>English</t>
        </is>
      </c>
    </row>
    <row r="34">
      <c r="A34" t="inlineStr">
        <is>
          <t>WIZ_033</t>
        </is>
      </c>
      <c r="B34" t="inlineStr">
        <is>
          <t>Wizarab</t>
        </is>
      </c>
      <c r="C34" t="inlineStr">
        <is>
          <t>X</t>
        </is>
      </c>
      <c r="D34" t="inlineStr">
        <is>
          <t>Tweet</t>
        </is>
      </c>
      <c r="E34">
        <f>HYPERLINK("https://x.com/Wizarab10/status/1641792600863645696","https://x.com/Wizarab10/status/1641792600863645696")</f>
        <v/>
      </c>
      <c r="F34" t="inlineStr">
        <is>
          <t>The tweet advises distrust of someone emotionally involved with friends, questioning the sincerity of their relationship.</t>
        </is>
      </c>
      <c r="G34"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H34" t="inlineStr">
        <is>
          <t>Someone who hops around between friends cannot be trusted. Find someone else. She claimed they did not have sex, and you believed her? What about the emotional connection during the relationship? You should get more information from your guy too. https://t.co/rLXkr7TsYb</t>
        </is>
      </c>
      <c r="I34" t="inlineStr">
        <is>
          <t>English</t>
        </is>
      </c>
    </row>
    <row r="35">
      <c r="A35" t="inlineStr">
        <is>
          <t>WIZ_034</t>
        </is>
      </c>
      <c r="B35" t="inlineStr">
        <is>
          <t>Wizarab</t>
        </is>
      </c>
      <c r="C35" t="inlineStr">
        <is>
          <t>X</t>
        </is>
      </c>
      <c r="D35" t="inlineStr">
        <is>
          <t>Tweet</t>
        </is>
      </c>
      <c r="E35">
        <f>HYPERLINK("https://x.com/Wizarab10/status/1641787210054660097","https://x.com/Wizarab10/status/1641787210054660097")</f>
        <v/>
      </c>
      <c r="F35" t="inlineStr">
        <is>
          <t>The tweet discusses conflicting desires for virginity and sexual intimacy in a relationship, labeling both as selfish.</t>
        </is>
      </c>
      <c r="G35" t="inlineStr">
        <is>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is>
      </c>
      <c r="H35" t="inlineStr">
        <is>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is>
      </c>
      <c r="I35" t="inlineStr">
        <is>
          <t>English</t>
        </is>
      </c>
    </row>
    <row r="36">
      <c r="A36" t="inlineStr">
        <is>
          <t>WIZ_035</t>
        </is>
      </c>
      <c r="B36" t="inlineStr">
        <is>
          <t>Wizarab</t>
        </is>
      </c>
      <c r="C36" t="inlineStr">
        <is>
          <t>X</t>
        </is>
      </c>
      <c r="D36" t="inlineStr">
        <is>
          <t>Tweet</t>
        </is>
      </c>
      <c r="E36">
        <f>HYPERLINK("https://x.com/Wizarab10/status/1641780775753269248","https://x.com/Wizarab10/status/1641780775753269248")</f>
        <v/>
      </c>
      <c r="F36" t="inlineStr">
        <is>
          <t>Wizarab discusses discerning genuine love versus financial dependency in relationships, urging attention to treatment and conversations.</t>
        </is>
      </c>
      <c r="G36" t="inlineStr">
        <is>
          <t>Question is, how is he treating currently? You'll know if someone really loves you and wants to commit to you or they are just happy you're funding them. Even in random conversations, you'll know. Please pay attention. https://t.co/fDftNhJ6UB</t>
        </is>
      </c>
      <c r="H36" t="inlineStr">
        <is>
          <t>Question is, how is he treating currently? You'll know if someone really loves you and wants to commit to you or they are just happy you're funding them. Even in random conversations, you'll know. Please pay attention. https://t.co/fDftNhJ6UB</t>
        </is>
      </c>
      <c r="I36" t="inlineStr">
        <is>
          <t>English</t>
        </is>
      </c>
    </row>
    <row r="37">
      <c r="A37" t="inlineStr">
        <is>
          <t>WIZ_036</t>
        </is>
      </c>
      <c r="B37" t="inlineStr">
        <is>
          <t>Wizarab</t>
        </is>
      </c>
      <c r="C37" t="inlineStr">
        <is>
          <t>X</t>
        </is>
      </c>
      <c r="D37" t="inlineStr">
        <is>
          <t>Tweet</t>
        </is>
      </c>
      <c r="E37">
        <f>HYPERLINK("https://x.com/Wizarab10/status/1641780741360025602","https://x.com/Wizarab10/status/1641780741360025602")</f>
        <v/>
      </c>
      <c r="F37" t="inlineStr">
        <is>
          <t>Wizarab advises evaluating relationships beyond financial aspects, focusing on treatment and behavior rather than monetary investment.</t>
        </is>
      </c>
      <c r="G37" t="inlineStr">
        <is>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is>
      </c>
      <c r="H37" t="inlineStr">
        <is>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is>
      </c>
      <c r="I37" t="inlineStr">
        <is>
          <t>English</t>
        </is>
      </c>
    </row>
    <row r="38">
      <c r="A38" t="inlineStr">
        <is>
          <t>WIZ_037</t>
        </is>
      </c>
      <c r="B38" t="inlineStr">
        <is>
          <t>Wizarab</t>
        </is>
      </c>
      <c r="C38" t="inlineStr">
        <is>
          <t>X</t>
        </is>
      </c>
      <c r="D38" t="inlineStr">
        <is>
          <t>Tweet</t>
        </is>
      </c>
      <c r="E38">
        <f>HYPERLINK("https://x.com/Wizarab10/status/1641776275877507073","https://x.com/Wizarab10/status/1641776275877507073")</f>
        <v/>
      </c>
      <c r="F38" t="inlineStr">
        <is>
          <t>Wizarab defends manipulation as distinct from coercion, emphasizing personal responsibility and criticizing those who conflate the two.</t>
        </is>
      </c>
      <c r="G38" t="inlineStr">
        <is>
          <t>You're mad on several levels. There is absolutely nothing wrong with manipulation. Manipulation is not coercion. READ!!! You're a fucking adult. Your No should be your No. Begging for anything can be exhausting but does that make it robbery?</t>
        </is>
      </c>
      <c r="H38" t="inlineStr">
        <is>
          <t>You're mad on several levels. There is absolutely nothing wrong with manipulation. Manipulation is not coercion. READ!!! You're a fucking adult. Your No should be your No. Begging for anything can be exhausting but does that make it robbery?</t>
        </is>
      </c>
      <c r="I38" t="inlineStr">
        <is>
          <t>English</t>
        </is>
      </c>
    </row>
    <row r="39">
      <c r="A39" t="inlineStr">
        <is>
          <t>WIZ_038</t>
        </is>
      </c>
      <c r="B39" t="inlineStr">
        <is>
          <t>Wizarab</t>
        </is>
      </c>
      <c r="C39" t="inlineStr">
        <is>
          <t>X</t>
        </is>
      </c>
      <c r="D39" t="inlineStr">
        <is>
          <t>Tweet</t>
        </is>
      </c>
      <c r="E39">
        <f>HYPERLINK("https://x.com/Wizarab10/status/1641760900993495041","https://x.com/Wizarab10/status/1641760900993495041")</f>
        <v/>
      </c>
      <c r="F39" t="inlineStr">
        <is>
          <t>Wizarab points out that women also seek sex, challenging gendered assumptions about sexual pursuit.</t>
        </is>
      </c>
      <c r="G39" t="inlineStr">
        <is>
          <t>@jhays7ven Even women beg for sex.</t>
        </is>
      </c>
      <c r="H39" t="inlineStr">
        <is>
          <t>@jhays7ven Even women beg for sex.</t>
        </is>
      </c>
      <c r="I39" t="inlineStr">
        <is>
          <t>English</t>
        </is>
      </c>
    </row>
    <row r="40">
      <c r="A40" t="inlineStr">
        <is>
          <t>WIZ_039</t>
        </is>
      </c>
      <c r="B40" t="inlineStr">
        <is>
          <t>Wizarab</t>
        </is>
      </c>
      <c r="C40" t="inlineStr">
        <is>
          <t>X</t>
        </is>
      </c>
      <c r="D40" t="inlineStr">
        <is>
          <t>Tweet</t>
        </is>
      </c>
      <c r="E40">
        <f>HYPERLINK("https://x.com/Wizarab10/status/1619650876221829121","https://x.com/Wizarab10/status/1619650876221829121")</f>
        <v/>
      </c>
      <c r="F40" t="inlineStr">
        <is>
          <t>The tweet describes leaving a woman after a brief encounter to avoid commitment when she seeks relationship clarity.</t>
        </is>
      </c>
      <c r="G40" t="inlineStr">
        <is>
          <t>Me leaving in day 3 days after putting in a good performance when she starts catching feelings and ask "so what are we?" https://t.co/tfeBndHZTa</t>
        </is>
      </c>
      <c r="H40" t="inlineStr">
        <is>
          <t>Me leaving three days after putting in a good performance when she starts catching feelings and asks, "So what are we?" https://t.co/tfeBndHZTa</t>
        </is>
      </c>
      <c r="I40" t="inlineStr">
        <is>
          <t>English</t>
        </is>
      </c>
    </row>
    <row r="41">
      <c r="A41" t="inlineStr">
        <is>
          <t>WIZ_040</t>
        </is>
      </c>
      <c r="B41" t="inlineStr">
        <is>
          <t>Wizarab</t>
        </is>
      </c>
      <c r="C41" t="inlineStr">
        <is>
          <t>X</t>
        </is>
      </c>
      <c r="D41" t="inlineStr">
        <is>
          <t>Tweet</t>
        </is>
      </c>
      <c r="E41">
        <f>HYPERLINK("https://x.com/Wizarab10/status/1620358713474433024","https://x.com/Wizarab10/status/1620358713474433024")</f>
        <v/>
      </c>
      <c r="F41" t="inlineStr">
        <is>
          <t>The tweet suggests skepticism about equality, using a metaphor about urinating in one place to highlight collective action or unity.</t>
        </is>
      </c>
      <c r="G41" t="inlineStr">
        <is>
          <t>Equality is a myth. They need to piss in one place so it can foam.</t>
        </is>
      </c>
      <c r="H41" t="inlineStr">
        <is>
          <t>Equality is a myth. They need to urinate in one place so it can foam.</t>
        </is>
      </c>
      <c r="I41" t="inlineStr">
        <is>
          <t>English</t>
        </is>
      </c>
    </row>
    <row r="42">
      <c r="A42" t="inlineStr">
        <is>
          <t>WIZ_041</t>
        </is>
      </c>
      <c r="B42" t="inlineStr">
        <is>
          <t>Wizarab</t>
        </is>
      </c>
      <c r="C42" t="inlineStr">
        <is>
          <t>X</t>
        </is>
      </c>
      <c r="D42" t="inlineStr">
        <is>
          <t>Tweet</t>
        </is>
      </c>
      <c r="E42">
        <f>HYPERLINK("https://x.com/Wizarab10/status/1664037638863454208","https://x.com/Wizarab10/status/1664037638863454208")</f>
        <v/>
      </c>
      <c r="F42" t="inlineStr">
        <is>
          <t>Focus on finding the right fit for your life, not on the quantity of options available.</t>
        </is>
      </c>
      <c r="G42" t="inlineStr">
        <is>
          <t>"A lot of them" are not your problem. Go for the one that fits into your life. https://t.co/RtdI7DWojd</t>
        </is>
      </c>
      <c r="H42" t="inlineStr">
        <is>
          <t>"A lot of them" are not your problem. Go for the one that fits into your life. https://t.co/RtdI7DWojd</t>
        </is>
      </c>
      <c r="I42" t="inlineStr">
        <is>
          <t>English</t>
        </is>
      </c>
    </row>
    <row r="43">
      <c r="A43" t="inlineStr">
        <is>
          <t>WIZ_042</t>
        </is>
      </c>
      <c r="B43" t="inlineStr">
        <is>
          <t>Wizarab</t>
        </is>
      </c>
      <c r="C43" t="inlineStr">
        <is>
          <t>X</t>
        </is>
      </c>
      <c r="D43" t="inlineStr">
        <is>
          <t>Tweet</t>
        </is>
      </c>
      <c r="E43">
        <f>HYPERLINK("https://x.com/Wizarab10/status/1663858197310865409","https://x.com/Wizarab10/status/1663858197310865409")</f>
        <v/>
      </c>
      <c r="F43" t="inlineStr">
        <is>
          <t>The text discusses evaluating compatibility in relationships and deciding to leave if the relationship is not suitable.</t>
        </is>
      </c>
      <c r="G43" t="inlineStr">
        <is>
          <t>The point of relationship is to know if someone is compatibility you or not. If they are not. You quit. You admit tou are tired. What do you think is the appropriate action? https://t.co/0GhB0p9X7d</t>
        </is>
      </c>
      <c r="H43" t="inlineStr">
        <is>
          <t>The point of relationship is to know if someone is compatibility you or not. If they are not. You quit. You admit tou are tired. What do you think is the appropriate action? https://t.co/0GhB0p9X7d</t>
        </is>
      </c>
      <c r="I43" t="inlineStr">
        <is>
          <t>English</t>
        </is>
      </c>
    </row>
    <row r="44">
      <c r="A44" t="inlineStr">
        <is>
          <t>WIZ_043</t>
        </is>
      </c>
      <c r="B44" t="inlineStr">
        <is>
          <t>Wizarab</t>
        </is>
      </c>
      <c r="C44" t="inlineStr">
        <is>
          <t>X</t>
        </is>
      </c>
      <c r="D44" t="inlineStr">
        <is>
          <t>Tweet</t>
        </is>
      </c>
      <c r="E44">
        <f>HYPERLINK("https://x.com/Wizarab10/status/1663852815511429120","https://x.com/Wizarab10/status/1663852815511429120")</f>
        <v/>
      </c>
      <c r="F44" t="inlineStr">
        <is>
          <t>The text discusses ending relationships, skepticism about swearing on the Bible, and accepting the love one believes they deserve.</t>
        </is>
      </c>
      <c r="G44" t="inlineStr">
        <is>
          <t>If you're no more interested in the relationship, just end it. I don't take swears with the bible seriously. People do that everyday in court and lie. You accept the love you think you deserve https://t.co/IAtY7IuXe6</t>
        </is>
      </c>
      <c r="H44" t="inlineStr">
        <is>
          <t>If you're no more interested in the relationship, just end it. I don't take swears with the bible seriously. People do that everyday in court and lie. You accept the love you think you deserve https://t.co/IAtY7IuXe6</t>
        </is>
      </c>
      <c r="I44" t="inlineStr">
        <is>
          <t>English</t>
        </is>
      </c>
    </row>
    <row r="45">
      <c r="A45" t="inlineStr">
        <is>
          <t>WIZ_044</t>
        </is>
      </c>
      <c r="B45" t="inlineStr">
        <is>
          <t>Wizarab</t>
        </is>
      </c>
      <c r="C45" t="inlineStr">
        <is>
          <t>X</t>
        </is>
      </c>
      <c r="D45" t="inlineStr">
        <is>
          <t>Tweet</t>
        </is>
      </c>
      <c r="E45">
        <f>HYPERLINK("https://x.com/Wizarab10/status/1663817389069283328","https://x.com/Wizarab10/status/1663817389069283328")</f>
        <v/>
      </c>
      <c r="F45" t="inlineStr">
        <is>
          <t>The text discusses the thrill of chasing in relationships, emphasizing it's unrelated to personal value and varies among individuals.</t>
        </is>
      </c>
      <c r="G45" t="inlineStr">
        <is>
          <t>Fact. Chasing is for the thrill. It has nothing to do with your value. Some men enjoy the thrill. Personally, I don't.</t>
        </is>
      </c>
      <c r="H45" t="inlineStr">
        <is>
          <t>Fact. Chasing is for the thrill. It has nothing to do with your value. Some men enjoy the thrill. Personally, I don't.</t>
        </is>
      </c>
      <c r="I45" t="inlineStr">
        <is>
          <t>English</t>
        </is>
      </c>
    </row>
    <row r="46">
      <c r="A46" t="inlineStr">
        <is>
          <t>WIZ_045</t>
        </is>
      </c>
      <c r="B46" t="inlineStr">
        <is>
          <t>Wizarab</t>
        </is>
      </c>
      <c r="C46" t="inlineStr">
        <is>
          <t>X</t>
        </is>
      </c>
      <c r="D46" t="inlineStr">
        <is>
          <t>Tweet</t>
        </is>
      </c>
      <c r="E46">
        <f>HYPERLINK("https://x.com/Wizarab10/status/1652613288054726657","https://x.com/Wizarab10/status/1652613288054726657")</f>
        <v/>
      </c>
      <c r="F46" t="inlineStr">
        <is>
          <t>The text highlights the significance of sex as a crucial factor in a given context.</t>
        </is>
      </c>
      <c r="G46" t="inlineStr">
        <is>
          <t>@sanctemalum Sex is a very important factor</t>
        </is>
      </c>
      <c r="H46" t="inlineStr">
        <is>
          <t>@sanctemalum Sex is a very important factor</t>
        </is>
      </c>
      <c r="I46" t="inlineStr">
        <is>
          <t>English</t>
        </is>
      </c>
    </row>
    <row r="47">
      <c r="A47" t="inlineStr">
        <is>
          <t>WIZ_046</t>
        </is>
      </c>
      <c r="B47" t="inlineStr">
        <is>
          <t>Wizarab</t>
        </is>
      </c>
      <c r="C47" t="inlineStr">
        <is>
          <t>X</t>
        </is>
      </c>
      <c r="D47" t="inlineStr">
        <is>
          <t>Tweet</t>
        </is>
      </c>
      <c r="E47">
        <f>HYPERLINK("https://x.com/Wizarab10/status/1652599667190906881","https://x.com/Wizarab10/status/1652599667190906881")</f>
        <v/>
      </c>
      <c r="F47" t="inlineStr">
        <is>
          <t>The text discusses insecurity, body positivity, and the unrealistic pursuit of perfection, particularly in relation to obesity.</t>
        </is>
      </c>
      <c r="G47" t="inlineStr">
        <is>
          <t>@Ol0ye Of course there is that. I was addressing the part of insecurity when there is none to be insecure about. I'm not going to call you confident and body positive if you're obese. I think they punish themselves a lot by striving for perfection that doesn't exist and comparison.</t>
        </is>
      </c>
      <c r="H47" t="inlineStr">
        <is>
          <t>@Ol0ye Of course there is that. I was addressing the part of insecurity when there is none to be insecure about. I'm not going to call you confident and body positive if you're obese. I think they punish themselves a lot by striving for perfection that doesn't exist and comparison.</t>
        </is>
      </c>
      <c r="I47" t="inlineStr">
        <is>
          <t>English</t>
        </is>
      </c>
    </row>
    <row r="48">
      <c r="A48" t="inlineStr">
        <is>
          <t>WIZ_047</t>
        </is>
      </c>
      <c r="B48" t="inlineStr">
        <is>
          <t>Wizarab</t>
        </is>
      </c>
      <c r="C48" t="inlineStr">
        <is>
          <t>X</t>
        </is>
      </c>
      <c r="D48" t="inlineStr">
        <is>
          <t>Tweet</t>
        </is>
      </c>
      <c r="E48">
        <f>HYPERLINK("https://x.com/Wizarab10/status/1641796973115187205","https://x.com/Wizarab10/status/1641796973115187205")</f>
        <v/>
      </c>
      <c r="F48" t="inlineStr">
        <is>
          <t>The text advises on forming friendships naturally and approaching women confidently, even if shy, emphasizing authenticity and direct communication.</t>
        </is>
      </c>
      <c r="G48" t="inlineStr">
        <is>
          <t>You make friends by being friendly. I didn't go out seeking friendships. They happened naturally. As for women, just walk up to them or send a DM and say what you want to say. If you're shy, it is okay. Tell her you're are shy and smile. She is human. Go with the flow. https://t.co/7aQVXcVml8</t>
        </is>
      </c>
      <c r="H48" t="inlineStr">
        <is>
          <t>You make friends by being friendly. I didn't go out seeking friendships; they happened naturally. As for women, just walk up to them or send a DM and say what you want to say. If you're shy, it's okay. Tell her you're shy and smile. She is human. Go with the flow. https://t.co/7aQVXcVml8</t>
        </is>
      </c>
      <c r="I48" t="inlineStr">
        <is>
          <t>English</t>
        </is>
      </c>
    </row>
    <row r="49">
      <c r="A49" t="inlineStr">
        <is>
          <t>WIZ_048</t>
        </is>
      </c>
      <c r="B49" t="inlineStr">
        <is>
          <t>Wizarab</t>
        </is>
      </c>
      <c r="C49" t="inlineStr">
        <is>
          <t>X</t>
        </is>
      </c>
      <c r="D49" t="inlineStr">
        <is>
          <t>Tweet</t>
        </is>
      </c>
      <c r="E49">
        <f>HYPERLINK("https://x.com/Wizarab10/status/1641778203978088448","https://x.com/Wizarab10/status/1641778203978088448")</f>
        <v/>
      </c>
      <c r="F49" t="inlineStr">
        <is>
          <t>A cautionary message about the dangers in the world, urging protection of loved ones from harmful individuals.</t>
        </is>
      </c>
      <c r="G49" t="inlineStr">
        <is>
          <t>It is the world we live in. The world is generally not safe for anybody. It is ruthless. Protect your love ones from male and female wolves. https://t.co/lr2N8OxUL1</t>
        </is>
      </c>
      <c r="H49" t="inlineStr">
        <is>
          <t>It is the world we live in. The world is generally not safe for anybody. It is ruthless. Protect your love ones from male and female wolves. https://t.co/lr2N8OxUL1</t>
        </is>
      </c>
      <c r="I49" t="inlineStr">
        <is>
          <t>English</t>
        </is>
      </c>
    </row>
    <row r="50">
      <c r="A50" t="inlineStr">
        <is>
          <t>WIZ_049</t>
        </is>
      </c>
      <c r="B50" t="inlineStr">
        <is>
          <t>Wizarab</t>
        </is>
      </c>
      <c r="C50" t="inlineStr">
        <is>
          <t>X</t>
        </is>
      </c>
      <c r="D50" t="inlineStr">
        <is>
          <t>Tweet</t>
        </is>
      </c>
      <c r="E50">
        <f>HYPERLINK("https://x.com/Wizarab10/status/1619731584768442368","https://x.com/Wizarab10/status/1619731584768442368")</f>
        <v/>
      </c>
      <c r="F50" t="inlineStr">
        <is>
          <t>A statement expressing criticism towards a man for not managing his responsibilities independently, implying societal expectations of male competence.</t>
        </is>
      </c>
      <c r="G50" t="inlineStr">
        <is>
          <t>I blame the man. He should be able to handle his affairs without this fuss.</t>
        </is>
      </c>
      <c r="H50" t="inlineStr">
        <is>
          <t>I blame the man. He should be able to handle his affairs without this fuss.</t>
        </is>
      </c>
      <c r="I50"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2026-05-06T18:50:13Z</dcterms:created>
  <dcterms:modified xmlns:dcterms="http://purl.org/dc/terms/" xmlns:xsi="http://www.w3.org/2001/XMLSchema-instance" xsi:type="dcterms:W3CDTF">2026-05-06T18:50:13Z</dcterms:modified>
</cp:coreProperties>
</file>