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1"/>
  <sheetViews>
    <sheetView workbookViewId="0">
      <selection activeCell="A1" sqref="A1"/>
    </sheetView>
  </sheetViews>
  <sheetFormatPr baseColWidth="8" defaultRowHeight="15"/>
  <sheetData>
    <row r="1">
      <c r="A1" s="1" t="inlineStr">
        <is>
          <t>content_id</t>
        </is>
      </c>
      <c r="B1" s="1" t="inlineStr">
        <is>
          <t>creator</t>
        </is>
      </c>
      <c r="C1" s="1" t="inlineStr">
        <is>
          <t>platform</t>
        </is>
      </c>
      <c r="D1" s="1" t="inlineStr">
        <is>
          <t>content_type</t>
        </is>
      </c>
      <c r="E1" s="1" t="inlineStr">
        <is>
          <t>source_url</t>
        </is>
      </c>
      <c r="F1" s="1" t="inlineStr">
        <is>
          <t>context</t>
        </is>
      </c>
      <c r="G1" s="1" t="inlineStr">
        <is>
          <t>text_original</t>
        </is>
      </c>
      <c r="H1" s="1" t="inlineStr">
        <is>
          <t>text_english</t>
        </is>
      </c>
      <c r="I1" s="1" t="inlineStr">
        <is>
          <t>language_detected</t>
        </is>
      </c>
      <c r="J1" s="1" t="inlineStr">
        <is>
          <t>orientation</t>
        </is>
      </c>
      <c r="K1" s="1" t="inlineStr">
        <is>
          <t>themes__themes</t>
        </is>
      </c>
      <c r="L1" s="1" t="inlineStr">
        <is>
          <t>sentiment__sentiment</t>
        </is>
      </c>
      <c r="M1" s="1" t="inlineStr">
        <is>
          <t>sentiment__intensity</t>
        </is>
      </c>
      <c r="N1" s="1" t="inlineStr">
        <is>
          <t>emotion__emotions</t>
        </is>
      </c>
      <c r="O1" s="1" t="inlineStr">
        <is>
          <t>ner__entities</t>
        </is>
      </c>
      <c r="P1" s="1" t="inlineStr">
        <is>
          <t>hate_speech__hate_speech</t>
        </is>
      </c>
      <c r="Q1" s="1" t="inlineStr">
        <is>
          <t>hate_speech__target_group</t>
        </is>
      </c>
      <c r="R1" s="1" t="inlineStr">
        <is>
          <t>hate_speech__severity</t>
        </is>
      </c>
      <c r="S1" s="1" t="inlineStr">
        <is>
          <t>toxicity__toxicity</t>
        </is>
      </c>
      <c r="T1" s="1" t="inlineStr">
        <is>
          <t>toxicity__categories</t>
        </is>
      </c>
      <c r="U1" s="1" t="inlineStr">
        <is>
          <t>misogyny__misogyny</t>
        </is>
      </c>
      <c r="V1" s="1" t="inlineStr">
        <is>
          <t>misogyny__intensity</t>
        </is>
      </c>
      <c r="W1" s="1" t="inlineStr">
        <is>
          <t>moral_foundations__foundations</t>
        </is>
      </c>
      <c r="X1" s="1" t="inlineStr">
        <is>
          <t>framing__frame</t>
        </is>
      </c>
      <c r="Y1" s="1" t="inlineStr">
        <is>
          <t>framing__stance_implied</t>
        </is>
      </c>
      <c r="Z1" s="1" t="inlineStr">
        <is>
          <t>argument_mining__claim</t>
        </is>
      </c>
      <c r="AA1" s="1" t="inlineStr">
        <is>
          <t>argument_mining__reasoning_type</t>
        </is>
      </c>
      <c r="AB1" s="1" t="inlineStr">
        <is>
          <t>argument_mining__justification</t>
        </is>
      </c>
    </row>
    <row r="2">
      <c r="A2" t="inlineStr">
        <is>
          <t>AGB_029</t>
        </is>
      </c>
      <c r="B2" t="inlineStr">
        <is>
          <t>Agba John Doe</t>
        </is>
      </c>
      <c r="C2" t="inlineStr">
        <is>
          <t>X</t>
        </is>
      </c>
      <c r="D2" t="inlineStr">
        <is>
          <t>Tweet thread (merged)</t>
        </is>
      </c>
      <c r="E2">
        <f>HYPERLINK("https://x.com/jon_d_doe/status/1641047468832968706","https://x.com/jon_d_doe/status/1641047468832968706")</f>
        <v/>
      </c>
      <c r="F2" t="inlineStr">
        <is>
          <t>Merged Agba thread (2 consecutive tweets) — long-distance + divorce dynamics</t>
        </is>
      </c>
      <c r="G2" t="inlineStr">
        <is>
          <t>nothing is guaranteed outside. Don't punish her by making her a divorcee because it will be tougher on her &amp; make her life miserable. God will not forgive you, for hurting a woman that opened up her heart to you &amp; willingly accepted to submit to you. Lastly, if your father is bachelors. Plesse don't get carried away. You have not said anything bad about your wife. So you have to learn the ropes and date her again, even in marriage. Teach her how to make you need her. Give her your commitment &amp; let her follow your lead. Don't leave her because</t>
        </is>
      </c>
      <c r="H2" t="inlineStr">
        <is>
          <t>Nothing is guaranteed outside. Don't punish her by making her a divorcee because it will be tougher on her and make her life miserable. God will not forgive you for hurting a woman who opened her heart to you and willingly accepted to submit to you. Lastly, if your father is a bachelor, please don't get carried away. You haven't said anything bad about your wife. So you have to learn the ropes and date her again, even in marriage. Teach her how to make you need her. Give her your commitment and let her follow your lead. Don't leave her because.</t>
        </is>
      </c>
      <c r="I2" t="inlineStr">
        <is>
          <t>Nigerian Pidgin</t>
        </is>
      </c>
      <c r="J2" t="inlineStr">
        <is>
          <t>regressive</t>
        </is>
      </c>
      <c r="K2" t="inlineStr">
        <is>
          <t>["male_authority_provider", "female_submission_role", "marriage_relationships"]</t>
        </is>
      </c>
      <c r="L2" t="inlineStr">
        <is>
          <t>negative</t>
        </is>
      </c>
      <c r="M2" t="n">
        <v>4</v>
      </c>
      <c r="N2" t="inlineStr">
        <is>
          <t>["sadness", "trust"]</t>
        </is>
      </c>
      <c r="O2" t="inlineStr">
        <is>
          <t>[]</t>
        </is>
      </c>
      <c r="P2" t="b">
        <v>0</v>
      </c>
      <c r="Q2" t="inlineStr">
        <is>
          <t>women</t>
        </is>
      </c>
      <c r="R2" t="n">
        <v>1</v>
      </c>
      <c r="S2" t="n">
        <v>0.1</v>
      </c>
      <c r="T2" t="inlineStr">
        <is>
          <t>[]</t>
        </is>
      </c>
      <c r="U2" t="inlineStr">
        <is>
          <t>role_prescription</t>
        </is>
      </c>
      <c r="V2" t="n">
        <v>3</v>
      </c>
      <c r="W2" t="inlineStr">
        <is>
          <t>["care_harm", "authority_subversion"]</t>
        </is>
      </c>
      <c r="X2" t="inlineStr">
        <is>
          <t>traditional_order</t>
        </is>
      </c>
      <c r="Y2" t="inlineStr">
        <is>
          <t>regressive</t>
        </is>
      </c>
      <c r="Z2" t="inlineStr">
        <is>
          <t>Don't punish her with divorce; it will make her life miserable.</t>
        </is>
      </c>
      <c r="AA2" t="inlineStr">
        <is>
          <t>appeal_to_religion</t>
        </is>
      </c>
      <c r="AB2" t="inlineStr">
        <is>
          <t>God will not forgive you for hurting a woman who opened her heart.</t>
        </is>
      </c>
    </row>
    <row r="3">
      <c r="A3" t="inlineStr">
        <is>
          <t>AGB_037</t>
        </is>
      </c>
      <c r="B3" t="inlineStr">
        <is>
          <t>Agba John Doe</t>
        </is>
      </c>
      <c r="C3" t="inlineStr">
        <is>
          <t>X</t>
        </is>
      </c>
      <c r="D3" t="inlineStr">
        <is>
          <t>Tweet</t>
        </is>
      </c>
      <c r="E3">
        <f>HYPERLINK("https://x.com/jon_d_doe/status/1641155845353291780","https://x.com/jon_d_doe/status/1641155845353291780")</f>
        <v/>
      </c>
      <c r="F3" t="inlineStr">
        <is>
          <t>The text discusses a perceived change in a woman's behavior in marriage, questioning her loss of respectfulness and submissiveness.</t>
        </is>
      </c>
      <c r="G3" t="inlineStr">
        <is>
          <t>Then suddenly, she changes into what you can no longer recognize? What happened along the way? Why did she suddenly change? Why is she no longer respectful &amp; submissive like she once was? This is why most men will blame themselves for a failed marriage. Women are quite</t>
        </is>
      </c>
      <c r="H3" t="inlineStr">
        <is>
          <t>Then suddenly, she changes into someone you can no longer recognize? What happened along the way? Why did she suddenly change? Why is she no longer respectful and submissive like she once was? This is why most men will blame themselves for a failed marriage. Women are quite.</t>
        </is>
      </c>
      <c r="I3" t="inlineStr">
        <is>
          <t>Nigerian Pidgin</t>
        </is>
      </c>
      <c r="J3" t="inlineStr">
        <is>
          <t>regressive</t>
        </is>
      </c>
      <c r="K3" t="inlineStr">
        <is>
          <t>["female_blame", "male_accountability", "marriage_relationships"]</t>
        </is>
      </c>
      <c r="L3" t="inlineStr">
        <is>
          <t>negative</t>
        </is>
      </c>
      <c r="M3" t="n">
        <v>4</v>
      </c>
      <c r="N3" t="inlineStr">
        <is>
          <t>["sadness", "fear"]</t>
        </is>
      </c>
      <c r="O3" t="inlineStr">
        <is>
          <t>[]</t>
        </is>
      </c>
      <c r="P3" t="b">
        <v>0</v>
      </c>
      <c r="Q3" t="inlineStr">
        <is>
          <t>women</t>
        </is>
      </c>
      <c r="R3" t="n">
        <v>1</v>
      </c>
      <c r="S3" t="n">
        <v>0.2</v>
      </c>
      <c r="T3" t="inlineStr">
        <is>
          <t>[]</t>
        </is>
      </c>
      <c r="U3" t="inlineStr">
        <is>
          <t>victim_blaming</t>
        </is>
      </c>
      <c r="V3" t="n">
        <v>2</v>
      </c>
      <c r="W3" t="inlineStr">
        <is>
          <t>["care_harm", "authority_subversion"]</t>
        </is>
      </c>
      <c r="X3" t="inlineStr">
        <is>
          <t>female_blame</t>
        </is>
      </c>
      <c r="Y3" t="inlineStr">
        <is>
          <t>regressive</t>
        </is>
      </c>
      <c r="Z3" t="inlineStr">
        <is>
          <t>Men often blame themselves for a woman's change in behavior.</t>
        </is>
      </c>
      <c r="AA3" t="inlineStr">
        <is>
          <t>rhetorical_question</t>
        </is>
      </c>
      <c r="AB3" t="inlineStr">
        <is>
          <t>Why did she suddenly change? Why is she no longer respectful?</t>
        </is>
      </c>
    </row>
    <row r="4">
      <c r="A4" t="inlineStr">
        <is>
          <t>AGB_012</t>
        </is>
      </c>
      <c r="B4" t="inlineStr">
        <is>
          <t>Agba John Doe</t>
        </is>
      </c>
      <c r="C4" t="inlineStr">
        <is>
          <t>X</t>
        </is>
      </c>
      <c r="D4" t="inlineStr">
        <is>
          <t>Tweet</t>
        </is>
      </c>
      <c r="E4">
        <f>HYPERLINK("https://x.com/jon_d_doe/status/1663872465410334720","https://x.com/jon_d_doe/status/1663872465410334720")</f>
        <v/>
      </c>
      <c r="F4" t="inlineStr">
        <is>
          <t>Advice for men on financial dynamics in marriage, emphasizing self-reliance and caution with wife's earnings.</t>
        </is>
      </c>
      <c r="G4" t="inlineStr">
        <is>
          <t>Things to note on tonight's thread. 1) if you marry her because of the size of her money, you are building on a faulty foundation. 2) if she earns more, remove your eyes from her money. Use yours. 3) if you become jobless &amp; she's stepping in, don't get too comfortable. End.</t>
        </is>
      </c>
      <c r="H4" t="inlineStr">
        <is>
          <t>Things to note in tonight's discussion: 1) If you marry her because of her wealth, you are building on a shaky foundation. 2) If she earns more, focus on your own money instead of hers. 3) If you become unemployed and she steps in to help, don't get too comfortable. End.</t>
        </is>
      </c>
      <c r="I4" t="inlineStr">
        <is>
          <t>Mixed (Pidgin + English)</t>
        </is>
      </c>
      <c r="J4" t="inlineStr">
        <is>
          <t>regressive</t>
        </is>
      </c>
      <c r="K4" t="inlineStr">
        <is>
          <t>["economic_pressure", "male_authority_provider", "marriage_relationships"]</t>
        </is>
      </c>
      <c r="L4" t="inlineStr">
        <is>
          <t>neutral</t>
        </is>
      </c>
      <c r="M4" t="n">
        <v>3</v>
      </c>
      <c r="N4" t="inlineStr">
        <is>
          <t>["anticipation", "trust"]</t>
        </is>
      </c>
      <c r="O4" t="inlineStr">
        <is>
          <t>[]</t>
        </is>
      </c>
      <c r="P4" t="b">
        <v>0</v>
      </c>
      <c r="Q4" t="inlineStr">
        <is>
          <t>none</t>
        </is>
      </c>
      <c r="R4" t="n">
        <v>0</v>
      </c>
      <c r="S4" t="n">
        <v>0.1</v>
      </c>
      <c r="T4" t="inlineStr">
        <is>
          <t>[]</t>
        </is>
      </c>
      <c r="U4" t="inlineStr">
        <is>
          <t>role_prescription</t>
        </is>
      </c>
      <c r="V4" t="n">
        <v>2</v>
      </c>
      <c r="W4" t="inlineStr">
        <is>
          <t>["fairness_cheat", "liberty_oppress"]</t>
        </is>
      </c>
      <c r="X4" t="inlineStr">
        <is>
          <t>economic_pragmatism</t>
        </is>
      </c>
      <c r="Y4" t="inlineStr">
        <is>
          <t>neutral</t>
        </is>
      </c>
      <c r="Z4" t="inlineStr">
        <is>
          <t>Marrying for wealth is building on a shaky foundation.</t>
        </is>
      </c>
      <c r="AA4" t="inlineStr">
        <is>
          <t>appeal_to_data</t>
        </is>
      </c>
      <c r="AB4" t="inlineStr">
        <is>
          <t>If you marry her because of her wealth, you are building on a shaky foundation.</t>
        </is>
      </c>
    </row>
    <row r="5">
      <c r="A5" t="inlineStr">
        <is>
          <t>AGB_035</t>
        </is>
      </c>
      <c r="B5" t="inlineStr">
        <is>
          <t>Agba John Doe</t>
        </is>
      </c>
      <c r="C5" t="inlineStr">
        <is>
          <t>X</t>
        </is>
      </c>
      <c r="D5" t="inlineStr">
        <is>
          <t>Tweet</t>
        </is>
      </c>
      <c r="E5">
        <f>HYPERLINK("https://x.com/jon_d_doe/status/1620401683191992324","https://x.com/jon_d_doe/status/1620401683191992324")</f>
        <v/>
      </c>
      <c r="F5" t="inlineStr">
        <is>
          <t>Agba John Doe lists signs he believes indicate a woman is involved in sex work, reinforcing stereotypes and judgment.</t>
        </is>
      </c>
      <c r="G5" t="inlineStr">
        <is>
          <t>She's possibly into hook ups [casual sexual relationships] if she: 1) begs for money few days after meeting her 2) turns off data when she's with you 3) lives above her visible means 4) uploads pix from diff hotels 5) posts seductive images online 6) has an "uncle" If this tweet pains you, you're one. End.</t>
        </is>
      </c>
      <c r="H5" t="inlineStr">
        <is>
          <t>She's probably into hookups if she: 1) begs for money a few days after meeting you 2) turns off data when she's with you 3) lives beyond her means 4) uploads pictures from different hotels 5) posts seductive images online 6) has an "uncle". If this tweet hurts you, you're one. End.</t>
        </is>
      </c>
      <c r="I5" t="inlineStr">
        <is>
          <t>Nigerian Pidgin</t>
        </is>
      </c>
      <c r="J5" t="inlineStr">
        <is>
          <t>regressive</t>
        </is>
      </c>
      <c r="K5" t="inlineStr">
        <is>
          <t>["hookup_transactional_sex", "female_blame", "male_sexual_entitlement"]</t>
        </is>
      </c>
      <c r="L5" t="inlineStr">
        <is>
          <t>negative</t>
        </is>
      </c>
      <c r="M5" t="n">
        <v>4</v>
      </c>
      <c r="N5" t="inlineStr">
        <is>
          <t>["disgust", "anger"]</t>
        </is>
      </c>
      <c r="O5" t="inlineStr">
        <is>
          <t>[]</t>
        </is>
      </c>
      <c r="P5" t="b">
        <v>1</v>
      </c>
      <c r="Q5" t="inlineStr">
        <is>
          <t>women</t>
        </is>
      </c>
      <c r="R5" t="n">
        <v>2</v>
      </c>
      <c r="S5" t="n">
        <v>0.3</v>
      </c>
      <c r="T5" t="inlineStr">
        <is>
          <t>["insult"]</t>
        </is>
      </c>
      <c r="U5" t="inlineStr">
        <is>
          <t>sexual_objectification</t>
        </is>
      </c>
      <c r="V5" t="n">
        <v>3</v>
      </c>
      <c r="W5" t="inlineStr">
        <is>
          <t>["fairness_cheat", "sanctity_degrad"]</t>
        </is>
      </c>
      <c r="X5" t="inlineStr">
        <is>
          <t>female_blame</t>
        </is>
      </c>
      <c r="Y5" t="inlineStr">
        <is>
          <t>regressive</t>
        </is>
      </c>
      <c r="Z5" t="inlineStr">
        <is>
          <t>Certain behaviors indicate she's likely into hookups.</t>
        </is>
      </c>
      <c r="AA5" t="inlineStr">
        <is>
          <t>appeal_to_data</t>
        </is>
      </c>
      <c r="AB5" t="inlineStr">
        <is>
          <t>If she begs for money after meeting you, she's probably into hookups.</t>
        </is>
      </c>
    </row>
    <row r="6">
      <c r="A6" t="inlineStr">
        <is>
          <t>AGB_003</t>
        </is>
      </c>
      <c r="B6" t="inlineStr">
        <is>
          <t>Agba John Doe</t>
        </is>
      </c>
      <c r="C6" t="inlineStr">
        <is>
          <t>X</t>
        </is>
      </c>
      <c r="D6" t="inlineStr">
        <is>
          <t>Tweet</t>
        </is>
      </c>
      <c r="E6">
        <f>HYPERLINK("https://x.com/jon_d_doe/status/1674877960300511234","https://x.com/jon_d_doe/status/1674877960300511234")</f>
        <v/>
      </c>
      <c r="F6" t="inlineStr">
        <is>
          <t>Agba John Doe criticizes women for sexual behavior and expectations, using derogatory language like 'knack (have sex)' and implying hypocrisy.</t>
        </is>
      </c>
      <c r="G6" t="inlineStr">
        <is>
          <t>You behave like a hoe. You bill him. You tell him that you're bad bitch. You tell him that 5 men have knacked you. Then, he finally gets his chance to knack you. After knacking, you ask him.. "what are we now?" We are pencils in the hands of the creator. End.</t>
        </is>
      </c>
      <c r="H6" t="inlineStr">
        <is>
          <t>You act like a promiscuous person. You charge him for your time. You tell him you're a confident woman. You mention that you've been with five men. Then, when he finally gets the chance to be with you, you ask him, "What are we now?" We are like pencils in the hands of the creator. End.</t>
        </is>
      </c>
      <c r="I6" t="inlineStr">
        <is>
          <t>Mixed (Pidgin + English)</t>
        </is>
      </c>
      <c r="J6" t="inlineStr">
        <is>
          <t>regressive</t>
        </is>
      </c>
      <c r="K6" t="inlineStr">
        <is>
          <t>["hookup_transactional_sex", "female_blame", "male_sexual_entitlement"]</t>
        </is>
      </c>
      <c r="L6" t="inlineStr">
        <is>
          <t>negative</t>
        </is>
      </c>
      <c r="M6" t="n">
        <v>4</v>
      </c>
      <c r="N6" t="inlineStr">
        <is>
          <t>["contempt", "disgust"]</t>
        </is>
      </c>
      <c r="O6" t="inlineStr">
        <is>
          <t>[]</t>
        </is>
      </c>
      <c r="P6" t="b">
        <v>1</v>
      </c>
      <c r="Q6" t="inlineStr">
        <is>
          <t>women</t>
        </is>
      </c>
      <c r="R6" t="n">
        <v>2</v>
      </c>
      <c r="S6" t="n">
        <v>0.4</v>
      </c>
      <c r="T6" t="inlineStr">
        <is>
          <t>["insult"]</t>
        </is>
      </c>
      <c r="U6" t="inlineStr">
        <is>
          <t>sexual_objectification</t>
        </is>
      </c>
      <c r="V6" t="n">
        <v>3</v>
      </c>
      <c r="W6" t="inlineStr">
        <is>
          <t>["sanctity_degrad", "fairness_cheat"]</t>
        </is>
      </c>
      <c r="X6" t="inlineStr">
        <is>
          <t>female_blame</t>
        </is>
      </c>
      <c r="Y6" t="inlineStr">
        <is>
          <t>regressive</t>
        </is>
      </c>
      <c r="Z6" t="inlineStr">
        <is>
          <t>Promiscuous behavior leads to confusion in relationships.</t>
        </is>
      </c>
      <c r="AA6" t="inlineStr">
        <is>
          <t>no_argument</t>
        </is>
      </c>
      <c r="AB6" t="inlineStr"/>
    </row>
    <row r="7">
      <c r="A7" t="inlineStr">
        <is>
          <t>BNK_053</t>
        </is>
      </c>
      <c r="B7" t="inlineStr">
        <is>
          <t>Banky Wellington</t>
        </is>
      </c>
      <c r="C7" t="inlineStr">
        <is>
          <t>YouTube (MENtality podcast)</t>
        </is>
      </c>
      <c r="D7" t="inlineStr">
        <is>
          <t>Podcast snippet</t>
        </is>
      </c>
      <c r="E7">
        <f>HYPERLINK("https://www.youtube.com/watch?v=V_eHJfW87iA","https://www.youtube.com/watch?v=V_eHJfW87iA")</f>
        <v/>
      </c>
      <c r="F7" t="inlineStr">
        <is>
          <t>The speaker recently took a teaching role at Union College, requiring frequent travel to the U.S., impacting his family involvement.</t>
        </is>
      </c>
      <c r="G7" t="inlineStr">
        <is>
          <t>So until I want to say maybe about a month ago, I would say it's pretty equal. But I just recently took a role. As you know, I'm teaching at Union College. So now I'm back and forth to the States a lot more. So in the last month. And it's hurting my soul. Because I'm like, I'm the dad that wants to, as much as is possible, I want to be there. So I'm cooking, I'm grocery shopping, I'm hanging out, I'm playing. Even when I have to go to work, as many as I come home, I'm taking off my tie and rolling around on the floor. So it's altered now because I took this role where I'm kind of required to be in the States from time to time. I'm teaching in Union College. I'm helping out the church with their international strategy and the college. But so I think in this season specifically, it's more your madam than me.</t>
        </is>
      </c>
      <c r="H7" t="inlineStr">
        <is>
          <t>Until about a month ago, I felt like my involvement was pretty equal. However, I recently took a teaching position at Union College, which requires me to travel to the States more frequently. This change has been tough for me because I want to be present as much as possible. I enjoy cooking, grocery shopping, and spending time with my family. Even when I have to work, I try to come home and engage with my kids. But now, with this new role, my wife is taking on more responsibilities.</t>
        </is>
      </c>
      <c r="I7" t="inlineStr">
        <is>
          <t>English</t>
        </is>
      </c>
      <c r="J7" t="inlineStr">
        <is>
          <t>progressive</t>
        </is>
      </c>
      <c r="K7" t="inlineStr">
        <is>
          <t>["fatherhood_parenting", "male_accountability", "male_emotional_life"]</t>
        </is>
      </c>
      <c r="L7" t="inlineStr">
        <is>
          <t>mixed</t>
        </is>
      </c>
      <c r="M7" t="n">
        <v>3</v>
      </c>
      <c r="N7" t="inlineStr">
        <is>
          <t>["sadness", "anticipation"]</t>
        </is>
      </c>
      <c r="O7" t="inlineStr">
        <is>
          <t>[{"text": "Union College", "type": "ORG"}, {"text": "the States", "type": "LOC"}]</t>
        </is>
      </c>
      <c r="P7" t="b">
        <v>0</v>
      </c>
      <c r="Q7" t="inlineStr">
        <is>
          <t>none</t>
        </is>
      </c>
      <c r="R7" t="n">
        <v>0</v>
      </c>
      <c r="S7" t="n">
        <v>0</v>
      </c>
      <c r="T7" t="inlineStr">
        <is>
          <t>[]</t>
        </is>
      </c>
      <c r="U7" t="inlineStr">
        <is>
          <t>benevolent_sexism</t>
        </is>
      </c>
      <c r="V7" t="n">
        <v>2</v>
      </c>
      <c r="W7" t="inlineStr">
        <is>
          <t>["care_harm", "fairness_cheat"]</t>
        </is>
      </c>
      <c r="X7" t="inlineStr">
        <is>
          <t>male_accountability</t>
        </is>
      </c>
      <c r="Y7" t="inlineStr">
        <is>
          <t>progressive</t>
        </is>
      </c>
      <c r="Z7" t="inlineStr">
        <is>
          <t>Work changes can disrupt family involvement.</t>
        </is>
      </c>
      <c r="AA7" t="inlineStr">
        <is>
          <t>anecdote</t>
        </is>
      </c>
      <c r="AB7" t="inlineStr">
        <is>
          <t>My new teaching position requires more travel, affecting my family time.</t>
        </is>
      </c>
    </row>
    <row r="8">
      <c r="A8" t="inlineStr">
        <is>
          <t>BNK_058</t>
        </is>
      </c>
      <c r="B8" t="inlineStr">
        <is>
          <t>Banky Wellington</t>
        </is>
      </c>
      <c r="C8" t="inlineStr">
        <is>
          <t>YouTube (MENtality podcast)</t>
        </is>
      </c>
      <c r="D8" t="inlineStr">
        <is>
          <t>Podcast snippet</t>
        </is>
      </c>
      <c r="E8">
        <f>HYPERLINK("https://www.youtube.com/watch?v=V_eHJfW87iA","https://www.youtube.com/watch?v=V_eHJfW87iA")</f>
        <v/>
      </c>
      <c r="F8" t="inlineStr">
        <is>
          <t>The text discusses how repeated statements can seem true, highlighting societal pressures on men and the importance of shared responsibilities in relationships, with 'babes' [term of endearment] and 'I beg' [please] used for emphasis.</t>
        </is>
      </c>
      <c r="G8" t="inlineStr">
        <is>
          <t>There are certain things that sound intelligent, but they're not true. And why they sound intelligent is because they've been said a lot of times over the years. Like in music, we say, if you want to emphasize it, repeat it. If you want to... Emphasize it, repeat it. So if you say something long enough... Yeah, it becomes... It becomes truth. And it gets stuck in people's head. You see, that thing of, a man supposed to have, has made, has even put more pressure and more load. Yeah, the real load. On a man's shoulder. Like, I had one guy say, no, I do everything, I know how many women talk to me in the house. I heard him say it. And he didn't say that thing from just himself. He got it from somewhere. But he said it in confidence, thinking that all that is his truth. But it's not. I will do my part. And if I need help, if I need help, my wife needs to pay for stuff. If we need to pay for stuff and she has the money, I will say, babes [term of endearment], please [I beg]. Do this one. Man, actually, I have my money, but I still have to do this one. You get? It's not an ego thing. It's a... It's a thing of pride. Be involved.</t>
        </is>
      </c>
      <c r="H8" t="inlineStr">
        <is>
          <t>Some things sound intelligent but aren’t true. They sound intelligent because they’ve been repeated over the years. In music, we say if you want to emphasize something, repeat it. If you say something long enough, it becomes truth and sticks in people’s minds. The idea that a man is supposed to have everything has put more pressure on men. I heard a guy say, 'I do everything; I know how many women talk to me at home.' He didn’t come up with that on his own; he got it from somewhere. He said it confidently, thinking it was his truth, but it’s not. I will do my part, and if I need help, I’ll ask my wife to contribute. If we need to pay for something and she has the money, I’ll say, 'Babe, please help with this.' It’s not about ego; it’s about being involved.</t>
        </is>
      </c>
      <c r="I8" t="inlineStr">
        <is>
          <t>English</t>
        </is>
      </c>
      <c r="J8" t="inlineStr">
        <is>
          <t>progressive</t>
        </is>
      </c>
      <c r="K8" t="inlineStr">
        <is>
          <t>["economic_pressure", "male_accountability", "male_authority_provider"]</t>
        </is>
      </c>
      <c r="L8" t="inlineStr">
        <is>
          <t>neutral</t>
        </is>
      </c>
      <c r="M8" t="n">
        <v>3</v>
      </c>
      <c r="N8" t="inlineStr">
        <is>
          <t>["anger", "trust"]</t>
        </is>
      </c>
      <c r="O8" t="inlineStr">
        <is>
          <t>[]</t>
        </is>
      </c>
      <c r="P8" t="b">
        <v>0</v>
      </c>
      <c r="Q8" t="inlineStr">
        <is>
          <t>men</t>
        </is>
      </c>
      <c r="R8" t="n">
        <v>1</v>
      </c>
      <c r="S8" t="n">
        <v>0.1</v>
      </c>
      <c r="T8" t="inlineStr">
        <is>
          <t>[]</t>
        </is>
      </c>
      <c r="U8" t="inlineStr">
        <is>
          <t>none</t>
        </is>
      </c>
      <c r="V8" t="n">
        <v>0</v>
      </c>
      <c r="W8" t="inlineStr">
        <is>
          <t>["fairness_cheat", "liberty_oppress"]</t>
        </is>
      </c>
      <c r="X8" t="inlineStr">
        <is>
          <t>male_accountability</t>
        </is>
      </c>
      <c r="Y8" t="inlineStr">
        <is>
          <t>progressive</t>
        </is>
      </c>
      <c r="Z8" t="inlineStr">
        <is>
          <t>Repeated ideas can become false truths.</t>
        </is>
      </c>
      <c r="AA8" t="inlineStr">
        <is>
          <t>appeal_to_tradition</t>
        </is>
      </c>
      <c r="AB8" t="inlineStr">
        <is>
          <t>Some things sound intelligent but aren’t true because they’ve been repeated.</t>
        </is>
      </c>
    </row>
    <row r="9">
      <c r="A9" t="inlineStr">
        <is>
          <t>BNK_023</t>
        </is>
      </c>
      <c r="B9" t="inlineStr">
        <is>
          <t>Banky Wellington</t>
        </is>
      </c>
      <c r="C9" t="inlineStr">
        <is>
          <t>YouTube (MENtality podcast)</t>
        </is>
      </c>
      <c r="D9" t="inlineStr">
        <is>
          <t>Podcast snippet</t>
        </is>
      </c>
      <c r="E9">
        <f>HYPERLINK("https://www.youtube.com/watch?v=mU5uAVhVEzA","https://www.youtube.com/watch?v=mU5uAVhVEzA")</f>
        <v/>
      </c>
      <c r="F9" t="inlineStr">
        <is>
          <t>Banky W discusses how marriage highlights personal flaws, emphasizing self-improvement as essential for successful relationships.</t>
        </is>
      </c>
      <c r="G9" t="inlineStr">
        <is>
          <t>The work in marriage is, the ultimate work in marriage is the work you do on yourself. Absolutely. Absolutely. Yeah. Because marriage will, your partner will help you amplify your flaws. Yeah. They will trigger, they will show you where all your injuries are. Yeah. So, you just have to work on yourself.</t>
        </is>
      </c>
      <c r="H9" t="inlineStr">
        <is>
          <t>The most important work in marriage is the work you do on yourself. Absolutely. Your partner will highlight your flaws and trigger your insecurities. So, you must focus on self-improvement.</t>
        </is>
      </c>
      <c r="I9" t="inlineStr">
        <is>
          <t>English</t>
        </is>
      </c>
      <c r="J9" t="inlineStr">
        <is>
          <t>progressive</t>
        </is>
      </c>
      <c r="K9" t="inlineStr">
        <is>
          <t>["male_accountability", "marriage_relationships", "male_emotional_life"]</t>
        </is>
      </c>
      <c r="L9" t="inlineStr">
        <is>
          <t>positive</t>
        </is>
      </c>
      <c r="M9" t="n">
        <v>4</v>
      </c>
      <c r="N9" t="inlineStr">
        <is>
          <t>["trust", "anticipation"]</t>
        </is>
      </c>
      <c r="O9" t="inlineStr">
        <is>
          <t>[]</t>
        </is>
      </c>
      <c r="P9" t="b">
        <v>0</v>
      </c>
      <c r="Q9" t="inlineStr">
        <is>
          <t>none</t>
        </is>
      </c>
      <c r="R9" t="n">
        <v>0</v>
      </c>
      <c r="S9" t="n">
        <v>0</v>
      </c>
      <c r="T9" t="inlineStr">
        <is>
          <t>[]</t>
        </is>
      </c>
      <c r="U9" t="inlineStr">
        <is>
          <t>none</t>
        </is>
      </c>
      <c r="V9" t="n">
        <v>0</v>
      </c>
      <c r="W9" t="inlineStr">
        <is>
          <t>["care_harm", "liberty_oppress"]</t>
        </is>
      </c>
      <c r="X9" t="inlineStr">
        <is>
          <t>self_improvement</t>
        </is>
      </c>
      <c r="Y9" t="inlineStr">
        <is>
          <t>progressive</t>
        </is>
      </c>
      <c r="Z9" t="inlineStr">
        <is>
          <t>Self-improvement is crucial in marriage.</t>
        </is>
      </c>
      <c r="AA9" t="inlineStr">
        <is>
          <t>no_argument</t>
        </is>
      </c>
      <c r="AB9" t="inlineStr"/>
    </row>
    <row r="10">
      <c r="A10" t="inlineStr">
        <is>
          <t>BNK_076</t>
        </is>
      </c>
      <c r="B10" t="inlineStr">
        <is>
          <t>Banky Wellington</t>
        </is>
      </c>
      <c r="C10" t="inlineStr">
        <is>
          <t>YouTube (MENtality podcast)</t>
        </is>
      </c>
      <c r="D10" t="inlineStr">
        <is>
          <t>Podcast snippet</t>
        </is>
      </c>
      <c r="E10">
        <f>HYPERLINK("https://www.youtube.com/watch?v=XbFCPgdK8QQ","https://www.youtube.com/watch?v=XbFCPgdK8QQ")</f>
        <v/>
      </c>
      <c r="F10" t="inlineStr">
        <is>
          <t>Expresses concern about raising children in today's world, acknowledging both the positive and negative impacts of social media.</t>
        </is>
      </c>
      <c r="G10" t="inlineStr">
        <is>
          <t>I think the worry for me is, even before we had kids, I've gotten very concerned about the world that we would potentially birth our children into. Because I don't want to kind of sit on a pedestal and just be hampering on social media. It has its positives. We've all, in some way, shape or form, be</t>
        </is>
      </c>
      <c r="H10" t="inlineStr">
        <is>
          <t>I think the worry for me is, even before we had kids, I've gotten very concerned about the world that we would potentially birth our children into. Because I don't want to kind of sit on a pedestal and just be hampering on social media. It has its positives. We've all, in some way, shape or form, be</t>
        </is>
      </c>
      <c r="I10" t="inlineStr">
        <is>
          <t>English</t>
        </is>
      </c>
      <c r="J10" t="inlineStr">
        <is>
          <t>progressive</t>
        </is>
      </c>
      <c r="K10" t="inlineStr">
        <is>
          <t>["fatherhood_parenting", "male_emotional_life", "marriage_relationships"]</t>
        </is>
      </c>
      <c r="L10" t="inlineStr">
        <is>
          <t>mixed</t>
        </is>
      </c>
      <c r="M10" t="n">
        <v>3</v>
      </c>
      <c r="N10" t="inlineStr">
        <is>
          <t>["fear", "anticipation"]</t>
        </is>
      </c>
      <c r="O10" t="inlineStr">
        <is>
          <t>[]</t>
        </is>
      </c>
      <c r="P10" t="b">
        <v>0</v>
      </c>
      <c r="Q10" t="inlineStr">
        <is>
          <t>none</t>
        </is>
      </c>
      <c r="R10" t="n">
        <v>0</v>
      </c>
      <c r="S10" t="n">
        <v>0</v>
      </c>
      <c r="T10" t="inlineStr">
        <is>
          <t>[]</t>
        </is>
      </c>
      <c r="U10" t="inlineStr">
        <is>
          <t>none</t>
        </is>
      </c>
      <c r="V10" t="n">
        <v>0</v>
      </c>
      <c r="W10" t="inlineStr">
        <is>
          <t>["care_harm", "liberty_oppress"]</t>
        </is>
      </c>
      <c r="X10" t="inlineStr">
        <is>
          <t>other</t>
        </is>
      </c>
      <c r="Y10" t="inlineStr">
        <is>
          <t>neutral</t>
        </is>
      </c>
      <c r="Z10" t="inlineStr">
        <is>
          <t>Concerns about the world for future children are valid.</t>
        </is>
      </c>
      <c r="AA10" t="inlineStr">
        <is>
          <t>no_argument</t>
        </is>
      </c>
      <c r="AB10" t="inlineStr"/>
    </row>
    <row r="11">
      <c r="A11" t="inlineStr">
        <is>
          <t>BNK_029</t>
        </is>
      </c>
      <c r="B11" t="inlineStr">
        <is>
          <t>Banky Wellington</t>
        </is>
      </c>
      <c r="C11" t="inlineStr">
        <is>
          <t>YouTube (MENtality podcast)</t>
        </is>
      </c>
      <c r="D11" t="inlineStr">
        <is>
          <t>Podcast snippet</t>
        </is>
      </c>
      <c r="E11">
        <f>HYPERLINK("https://www.youtube.com/watch?v=mU5uAVhVEzA","https://www.youtube.com/watch?v=mU5uAVhVEzA")</f>
        <v/>
      </c>
      <c r="F11" t="inlineStr">
        <is>
          <t>Banky W discusses self-awareness in relationships, emphasizing understanding oneself to effectively support a partner, in the MENtality podcast.</t>
        </is>
      </c>
      <c r="G11" t="inlineStr">
        <is>
          <t>Although to throw more light on that from another angle, you are the more important person in your relationship. What does that mean? You can't be there for the other person without knowing what you are, who you are and how to. Right. Facts.</t>
        </is>
      </c>
      <c r="H11" t="inlineStr">
        <is>
          <t>Although to throw more light on that from another angle, you are the more important person in your relationship. What does that mean? You can't be there for the other person without knowing what you are, who you are and how to. Right. Facts.</t>
        </is>
      </c>
      <c r="I11" t="inlineStr">
        <is>
          <t>English</t>
        </is>
      </c>
      <c r="J11" t="inlineStr">
        <is>
          <t>progressive</t>
        </is>
      </c>
      <c r="K11" t="inlineStr">
        <is>
          <t>["male_authority_provider", "marriage_relationships", "male_accountability"]</t>
        </is>
      </c>
      <c r="L11" t="inlineStr">
        <is>
          <t>positive</t>
        </is>
      </c>
      <c r="M11" t="n">
        <v>4</v>
      </c>
      <c r="N11" t="inlineStr">
        <is>
          <t>["trust", "pride"]</t>
        </is>
      </c>
      <c r="O11" t="inlineStr">
        <is>
          <t>[]</t>
        </is>
      </c>
      <c r="P11" t="b">
        <v>0</v>
      </c>
      <c r="Q11" t="inlineStr">
        <is>
          <t>none</t>
        </is>
      </c>
      <c r="R11" t="n">
        <v>0</v>
      </c>
      <c r="S11" t="n">
        <v>0</v>
      </c>
      <c r="T11" t="inlineStr">
        <is>
          <t>[]</t>
        </is>
      </c>
      <c r="U11" t="inlineStr">
        <is>
          <t>none</t>
        </is>
      </c>
      <c r="V11" t="n">
        <v>0</v>
      </c>
      <c r="W11" t="inlineStr">
        <is>
          <t>["fairness_cheat", "liberty_oppress"]</t>
        </is>
      </c>
      <c r="X11" t="inlineStr">
        <is>
          <t>self_improvement</t>
        </is>
      </c>
      <c r="Y11" t="inlineStr">
        <is>
          <t>progressive</t>
        </is>
      </c>
      <c r="Z11" t="inlineStr">
        <is>
          <t>Self-awareness is essential in relationships.</t>
        </is>
      </c>
      <c r="AA11" t="inlineStr">
        <is>
          <t>no_argument</t>
        </is>
      </c>
      <c r="AB11" t="inlineStr"/>
    </row>
    <row r="12">
      <c r="A12" t="inlineStr">
        <is>
          <t>DEY_012</t>
        </is>
      </c>
      <c r="B12" t="inlineStr">
        <is>
          <t>Deyemi Okanlawon</t>
        </is>
      </c>
      <c r="C12" t="inlineStr">
        <is>
          <t>X / Twitter</t>
        </is>
      </c>
      <c r="D12" t="inlineStr">
        <is>
          <t>Tweet</t>
        </is>
      </c>
      <c r="E12">
        <f>HYPERLINK("https://x.com/_deyemi/status/1333661251948441600","https://x.com/_deyemi/status/1333661251948441600")</f>
        <v/>
      </c>
      <c r="F12" t="inlineStr">
        <is>
          <t>Deyemi Okanlawon emphasizes that equal rights should come with equal responsibilities, addressing gender roles and equality in relationships.</t>
        </is>
      </c>
      <c r="G12" t="inlineStr">
        <is>
          <t>@thesheilaojei I’m a provider who believes that equal rights equates to equal responsibilities</t>
        </is>
      </c>
      <c r="H12" t="inlineStr">
        <is>
          <t>@thesheilaojei I’m a provider who believes that equal rights equates to equal responsibilities</t>
        </is>
      </c>
      <c r="I12" t="inlineStr">
        <is>
          <t>English</t>
        </is>
      </c>
      <c r="J12" t="inlineStr">
        <is>
          <t>progressive</t>
        </is>
      </c>
      <c r="K12" t="inlineStr">
        <is>
          <t>["male_authority_provider", "feminism_gender_equality"]</t>
        </is>
      </c>
      <c r="L12" t="inlineStr">
        <is>
          <t>positive</t>
        </is>
      </c>
      <c r="M12" t="n">
        <v>4</v>
      </c>
      <c r="N12" t="inlineStr">
        <is>
          <t>["trust", "pride"]</t>
        </is>
      </c>
      <c r="O12" t="inlineStr">
        <is>
          <t>[{"text": "@thesheilaojei", "type": "HANDLE"}]</t>
        </is>
      </c>
      <c r="P12" t="b">
        <v>0</v>
      </c>
      <c r="Q12" t="inlineStr">
        <is>
          <t>none</t>
        </is>
      </c>
      <c r="R12" t="n">
        <v>0</v>
      </c>
      <c r="S12" t="n">
        <v>0</v>
      </c>
      <c r="T12" t="inlineStr">
        <is>
          <t>[]</t>
        </is>
      </c>
      <c r="U12" t="inlineStr">
        <is>
          <t>none</t>
        </is>
      </c>
      <c r="V12" t="n">
        <v>0</v>
      </c>
      <c r="W12" t="inlineStr">
        <is>
          <t>["fairness_cheat", "liberty_oppress"]</t>
        </is>
      </c>
      <c r="X12" t="inlineStr">
        <is>
          <t>gender_equality</t>
        </is>
      </c>
      <c r="Y12" t="inlineStr">
        <is>
          <t>progressive</t>
        </is>
      </c>
      <c r="Z12" t="inlineStr">
        <is>
          <t>Equal rights mean equal responsibilities in relationships.</t>
        </is>
      </c>
      <c r="AA12" t="inlineStr">
        <is>
          <t>no_argument</t>
        </is>
      </c>
      <c r="AB12" t="inlineStr"/>
    </row>
    <row r="13">
      <c r="A13" t="inlineStr">
        <is>
          <t>DEY_011</t>
        </is>
      </c>
      <c r="B13" t="inlineStr">
        <is>
          <t>Deyemi Okanlawon</t>
        </is>
      </c>
      <c r="C13" t="inlineStr">
        <is>
          <t>X / Twitter</t>
        </is>
      </c>
      <c r="D13" t="inlineStr">
        <is>
          <t>Tweet</t>
        </is>
      </c>
      <c r="E13">
        <f>HYPERLINK("https://x.com/_deyemi/status/1309679015171698690","https://x.com/_deyemi/status/1309679015171698690")</f>
        <v/>
      </c>
      <c r="F13" t="inlineStr">
        <is>
          <t>Deyemi Okanlawon advocates for gender equality by suggesting the inclusion of boys in a statement originally mentioning only girls.</t>
        </is>
      </c>
      <c r="G13" t="inlineStr">
        <is>
          <t>@RomeoProMax The only thing I disagree with here is *my girls*... equal opportunity dictates you add *and boys*</t>
        </is>
      </c>
      <c r="H13" t="inlineStr">
        <is>
          <t>@RomeoProMax The only thing I disagree with here is *my girls*... equal opportunity dictates you add *and boys*</t>
        </is>
      </c>
      <c r="I13" t="inlineStr">
        <is>
          <t>English</t>
        </is>
      </c>
      <c r="J13" t="inlineStr">
        <is>
          <t>progressive</t>
        </is>
      </c>
      <c r="K13" t="inlineStr">
        <is>
          <t>["feminism_gender_equality", "male_authority_provider"]</t>
        </is>
      </c>
      <c r="L13" t="inlineStr">
        <is>
          <t>positive</t>
        </is>
      </c>
      <c r="M13" t="n">
        <v>3</v>
      </c>
      <c r="N13" t="inlineStr">
        <is>
          <t>["trust", "contempt"]</t>
        </is>
      </c>
      <c r="O13" t="inlineStr">
        <is>
          <t>[{"text": "@RomeoProMax", "type": "HANDLE"}]</t>
        </is>
      </c>
      <c r="P13" t="b">
        <v>0</v>
      </c>
      <c r="Q13" t="inlineStr">
        <is>
          <t>none</t>
        </is>
      </c>
      <c r="R13" t="n">
        <v>0</v>
      </c>
      <c r="S13" t="n">
        <v>0</v>
      </c>
      <c r="T13" t="inlineStr">
        <is>
          <t>[]</t>
        </is>
      </c>
      <c r="U13" t="inlineStr">
        <is>
          <t>none</t>
        </is>
      </c>
      <c r="V13" t="n">
        <v>0</v>
      </c>
      <c r="W13" t="inlineStr">
        <is>
          <t>["fairness_cheat", "loyalty_betray"]</t>
        </is>
      </c>
      <c r="X13" t="inlineStr">
        <is>
          <t>gender_equality</t>
        </is>
      </c>
      <c r="Y13" t="inlineStr">
        <is>
          <t>progressive</t>
        </is>
      </c>
      <c r="Z13" t="inlineStr">
        <is>
          <t>Equal opportunity should include both genders.</t>
        </is>
      </c>
      <c r="AA13" t="inlineStr">
        <is>
          <t>no_argument</t>
        </is>
      </c>
      <c r="AB13" t="inlineStr"/>
    </row>
    <row r="14">
      <c r="A14" t="inlineStr">
        <is>
          <t>DEY_023</t>
        </is>
      </c>
      <c r="B14" t="inlineStr">
        <is>
          <t>Deyemi Okanlawon</t>
        </is>
      </c>
      <c r="C14" t="inlineStr">
        <is>
          <t>X / Twitter</t>
        </is>
      </c>
      <c r="D14" t="inlineStr">
        <is>
          <t>Tweet</t>
        </is>
      </c>
      <c r="E14">
        <f>HYPERLINK("https://x.com/_deyemi/status/1223908274380079107","https://x.com/_deyemi/status/1223908274380079107")</f>
        <v/>
      </c>
      <c r="F14" t="inlineStr">
        <is>
          <t>The tweet critiques the misuse of the phrase 'not all men' while advocating for equal rights and opportunities for all individuals.</t>
        </is>
      </c>
      <c r="G14" t="inlineStr">
        <is>
          <t>NOT ALL MEN... and yet I could care less about ppl who pervert the truth of everyone having equal rights of expression and opportunities for personal/financial/career progress.</t>
        </is>
      </c>
      <c r="H14" t="inlineStr">
        <is>
          <t>NOT ALL MEN... and yet I could care less about ppl who pervert the truth of everyone having equal rights of expression and opportunities for personal/financial/career progress.</t>
        </is>
      </c>
      <c r="I14" t="inlineStr">
        <is>
          <t>English</t>
        </is>
      </c>
      <c r="J14" t="inlineStr">
        <is>
          <t>progressive</t>
        </is>
      </c>
      <c r="K14" t="inlineStr">
        <is>
          <t>["feminism_gender_equality"]</t>
        </is>
      </c>
      <c r="L14" t="inlineStr">
        <is>
          <t>negative</t>
        </is>
      </c>
      <c r="M14" t="n">
        <v>4</v>
      </c>
      <c r="N14" t="inlineStr">
        <is>
          <t>["anger", "disgust"]</t>
        </is>
      </c>
      <c r="O14" t="inlineStr">
        <is>
          <t>[]</t>
        </is>
      </c>
      <c r="P14" t="b">
        <v>0</v>
      </c>
      <c r="Q14" t="inlineStr">
        <is>
          <t>none</t>
        </is>
      </c>
      <c r="R14" t="n">
        <v>0</v>
      </c>
      <c r="S14" t="n">
        <v>0.1</v>
      </c>
      <c r="T14" t="inlineStr">
        <is>
          <t>[]</t>
        </is>
      </c>
      <c r="U14" t="inlineStr">
        <is>
          <t>none</t>
        </is>
      </c>
      <c r="V14" t="n">
        <v>0</v>
      </c>
      <c r="W14" t="inlineStr">
        <is>
          <t>["fairness_cheat", "liberty_oppress"]</t>
        </is>
      </c>
      <c r="X14" t="inlineStr">
        <is>
          <t>gender_equality</t>
        </is>
      </c>
      <c r="Y14" t="inlineStr">
        <is>
          <t>progressive</t>
        </is>
      </c>
      <c r="Z14" t="inlineStr">
        <is>
          <t>Equal rights of expression and opportunities are being perverted.</t>
        </is>
      </c>
      <c r="AA14" t="inlineStr">
        <is>
          <t>no_argument</t>
        </is>
      </c>
      <c r="AB14" t="inlineStr"/>
    </row>
    <row r="15">
      <c r="A15" t="inlineStr">
        <is>
          <t>DEY_014</t>
        </is>
      </c>
      <c r="B15" t="inlineStr">
        <is>
          <t>Deyemi Okanlawon</t>
        </is>
      </c>
      <c r="C15" t="inlineStr">
        <is>
          <t>X / Twitter</t>
        </is>
      </c>
      <c r="D15" t="inlineStr">
        <is>
          <t>Tweet</t>
        </is>
      </c>
      <c r="E15">
        <f>HYPERLINK("https://x.com/_deyemi/status/1484112712443518978","https://x.com/_deyemi/status/1484112712443518978")</f>
        <v/>
      </c>
      <c r="F15" t="inlineStr">
        <is>
          <t>The tweet compares the deceit of a man lying about his emotions to a woman lying about reaching orgasm, highlighting gender dynamics in relationships.</t>
        </is>
      </c>
      <c r="G15" t="inlineStr">
        <is>
          <t>From a conversation “There’s no difference between a man who lies about his feelings and a woman who lies about cuming!”</t>
        </is>
      </c>
      <c r="H15" t="inlineStr">
        <is>
          <t>From a conversation “There’s no difference between a man who lies about his feelings and a woman who lies about cuming!”</t>
        </is>
      </c>
      <c r="I15" t="inlineStr">
        <is>
          <t>English</t>
        </is>
      </c>
      <c r="J15" t="inlineStr">
        <is>
          <t>progressive</t>
        </is>
      </c>
      <c r="K15" t="inlineStr">
        <is>
          <t>["male_emotional_life"]</t>
        </is>
      </c>
      <c r="L15" t="inlineStr">
        <is>
          <t>neutral</t>
        </is>
      </c>
      <c r="M15" t="n">
        <v>2</v>
      </c>
      <c r="N15" t="inlineStr">
        <is>
          <t>["contempt", "anger"]</t>
        </is>
      </c>
      <c r="O15" t="inlineStr">
        <is>
          <t>[]</t>
        </is>
      </c>
      <c r="P15" t="b">
        <v>1</v>
      </c>
      <c r="Q15" t="inlineStr">
        <is>
          <t>women</t>
        </is>
      </c>
      <c r="R15" t="n">
        <v>1</v>
      </c>
      <c r="S15" t="n">
        <v>0.3</v>
      </c>
      <c r="T15" t="inlineStr">
        <is>
          <t>["sexual"]</t>
        </is>
      </c>
      <c r="U15" t="inlineStr">
        <is>
          <t>hostile_misogyny</t>
        </is>
      </c>
      <c r="V15" t="n">
        <v>2</v>
      </c>
      <c r="W15" t="inlineStr">
        <is>
          <t>[]</t>
        </is>
      </c>
      <c r="X15" t="inlineStr">
        <is>
          <t>male_accountability</t>
        </is>
      </c>
      <c r="Y15" t="inlineStr">
        <is>
          <t>progressive</t>
        </is>
      </c>
      <c r="Z15" t="inlineStr">
        <is>
          <t>Men and women can both lie about their feelings.</t>
        </is>
      </c>
      <c r="AA15" t="inlineStr">
        <is>
          <t>rhetorical_question</t>
        </is>
      </c>
      <c r="AB15" t="inlineStr">
        <is>
          <t>Is there a difference between a man who lies and a woman who lies?</t>
        </is>
      </c>
    </row>
    <row r="16">
      <c r="A16" t="inlineStr">
        <is>
          <t>DEY_020</t>
        </is>
      </c>
      <c r="B16" t="inlineStr">
        <is>
          <t>Deyemi Okanlawon</t>
        </is>
      </c>
      <c r="C16" t="inlineStr">
        <is>
          <t>X / Twitter</t>
        </is>
      </c>
      <c r="D16" t="inlineStr">
        <is>
          <t>Tweet</t>
        </is>
      </c>
      <c r="E16">
        <f>HYPERLINK("https://x.com/_deyemi/status/1594672742464622592","https://x.com/_deyemi/status/1594672742464622592")</f>
        <v/>
      </c>
      <c r="F16" t="inlineStr">
        <is>
          <t>Deyemi Okanlawon expresses his aspiration to fulfill various personal and social roles, acknowledging his imperfections and seeking divine assistance.</t>
        </is>
      </c>
      <c r="G16" t="inlineStr">
        <is>
          <t>I’m not perfect… only trying to be a decent human, husband lover, present father, supportive sibling, inspiring colleague, and good friend. So help me God</t>
        </is>
      </c>
      <c r="H16" t="inlineStr">
        <is>
          <t>I’m not perfect… just trying to be a decent human, husband, lover, present father, supportive sibling, inspiring colleague, and good friend. So help me God.</t>
        </is>
      </c>
      <c r="I16" t="inlineStr">
        <is>
          <t>English</t>
        </is>
      </c>
      <c r="J16" t="inlineStr">
        <is>
          <t>progressive</t>
        </is>
      </c>
      <c r="K16" t="inlineStr">
        <is>
          <t>["male_accountability", "fatherhood_parenting"]</t>
        </is>
      </c>
      <c r="L16" t="inlineStr">
        <is>
          <t>positive</t>
        </is>
      </c>
      <c r="M16" t="n">
        <v>5</v>
      </c>
      <c r="N16" t="inlineStr">
        <is>
          <t>["trust", "anticipation"]</t>
        </is>
      </c>
      <c r="O16" t="inlineStr">
        <is>
          <t>[{"text": "God", "type": "PERSON"}]</t>
        </is>
      </c>
      <c r="P16" t="b">
        <v>0</v>
      </c>
      <c r="Q16" t="inlineStr">
        <is>
          <t>none</t>
        </is>
      </c>
      <c r="R16" t="n">
        <v>0</v>
      </c>
      <c r="S16" t="n">
        <v>0</v>
      </c>
      <c r="T16" t="inlineStr">
        <is>
          <t>[]</t>
        </is>
      </c>
      <c r="U16" t="inlineStr">
        <is>
          <t>none</t>
        </is>
      </c>
      <c r="V16" t="n">
        <v>0</v>
      </c>
      <c r="W16" t="inlineStr">
        <is>
          <t>["care_harm", "authority_subversion"]</t>
        </is>
      </c>
      <c r="X16" t="inlineStr">
        <is>
          <t>self_improvement</t>
        </is>
      </c>
      <c r="Y16" t="inlineStr">
        <is>
          <t>progressive</t>
        </is>
      </c>
      <c r="Z16" t="inlineStr">
        <is>
          <t>Striving to be a good person is important.</t>
        </is>
      </c>
      <c r="AA16" t="inlineStr">
        <is>
          <t>appeal_to_religion</t>
        </is>
      </c>
      <c r="AB16" t="inlineStr">
        <is>
          <t>So help me God.</t>
        </is>
      </c>
    </row>
    <row r="17">
      <c r="A17" t="inlineStr">
        <is>
          <t>EBK_023</t>
        </is>
      </c>
      <c r="B17" t="inlineStr">
        <is>
          <t>Ebuka Obi-Uchendu</t>
        </is>
      </c>
      <c r="C17" t="inlineStr">
        <is>
          <t>YouTube (MENtality podcast — host)</t>
        </is>
      </c>
      <c r="D17" t="inlineStr">
        <is>
          <t>Podcast monologue / framing</t>
        </is>
      </c>
      <c r="E17" t="inlineStr">
        <is>
          <t>https://www.youtube.com/watch?v=XbFCPgdK8QQ</t>
        </is>
      </c>
      <c r="F17" t="inlineStr">
        <is>
          <t>Ebuka discusses a boy's withdrawal and potential influence of media on male behavior, noting Nigerian references like Abuja and family dynamics.</t>
        </is>
      </c>
      <c r="G17" t="inlineStr">
        <is>
          <t>I was like, this boy really adores you. I think you should come to Abuja. He's not talking to us. So he comes up from school. He just goes into his room. They open the door. What's up? I'm good. And then they leave and they don't hear from him again until the next morning. And it was about three years of his life where he was just that guy. I mean, thankfully he's okay. He's fine now. He's doing well. But I feel like that's when some people get into that space because you are going into these mediums or media spaces that are feeding you things and telling you what a man should be. You're suddenly hitting your mom, your sister, anyone you come across. And I just wonder why I think it gets to violence.</t>
        </is>
      </c>
      <c r="H17" t="inlineStr">
        <is>
          <t>I was like, this boy really adores you. I think you should come to Abuja. He's not talking to us. He comes home from school, goes straight to his room. They open the door and ask, 'What's up?' He says, 'I'm good,' and then they leave, not hearing from him again until the next morning. For about three years, he was just that guy. Thankfully, he's okay now and doing well. But I feel like that's when some people get into that space because they are exposed to media that feeds them ideas about what a man should be. Suddenly, they start hitting their mom, their sister, anyone they come across. And I just wonder why it leads to violence.</t>
        </is>
      </c>
      <c r="I17" t="inlineStr">
        <is>
          <t>English</t>
        </is>
      </c>
      <c r="J17" t="inlineStr">
        <is>
          <t>progressive</t>
        </is>
      </c>
      <c r="K17" t="inlineStr">
        <is>
          <t>["male_emotional_life", "male_sexual_entitlement"]</t>
        </is>
      </c>
      <c r="L17" t="inlineStr">
        <is>
          <t>mixed</t>
        </is>
      </c>
      <c r="M17" t="n">
        <v>3</v>
      </c>
      <c r="N17" t="inlineStr">
        <is>
          <t>["sadness", "fear"]</t>
        </is>
      </c>
      <c r="O17" t="inlineStr">
        <is>
          <t>[{"text": "Abuja", "type": "LOC"}]</t>
        </is>
      </c>
      <c r="P17" t="b">
        <v>0</v>
      </c>
      <c r="Q17" t="inlineStr">
        <is>
          <t>none</t>
        </is>
      </c>
      <c r="R17" t="n">
        <v>0</v>
      </c>
      <c r="S17" t="n">
        <v>0.1</v>
      </c>
      <c r="T17" t="inlineStr">
        <is>
          <t>[]</t>
        </is>
      </c>
      <c r="U17" t="inlineStr">
        <is>
          <t>none</t>
        </is>
      </c>
      <c r="V17" t="n">
        <v>0</v>
      </c>
      <c r="W17" t="inlineStr">
        <is>
          <t>["care_harm", "fairness_cheat"]</t>
        </is>
      </c>
      <c r="X17" t="inlineStr">
        <is>
          <t>male_victimhood</t>
        </is>
      </c>
      <c r="Y17" t="inlineStr">
        <is>
          <t>mixed</t>
        </is>
      </c>
      <c r="Z17" t="inlineStr">
        <is>
          <t>Media influences boys to exhibit violent behavior.</t>
        </is>
      </c>
      <c r="AA17" t="inlineStr">
        <is>
          <t>anecdote</t>
        </is>
      </c>
      <c r="AB17" t="inlineStr">
        <is>
          <t>A boy became withdrawn and later exhibited violence.</t>
        </is>
      </c>
    </row>
    <row r="18">
      <c r="A18" t="inlineStr">
        <is>
          <t>EBK_021</t>
        </is>
      </c>
      <c r="B18" t="inlineStr">
        <is>
          <t>Ebuka Obi-Uchendu</t>
        </is>
      </c>
      <c r="C18" t="inlineStr">
        <is>
          <t>YouTube (MENtality podcast — host)</t>
        </is>
      </c>
      <c r="D18" t="inlineStr">
        <is>
          <t>Podcast monologue / framing</t>
        </is>
      </c>
      <c r="E18" t="inlineStr">
        <is>
          <t>https://www.youtube.com/watch?v=mU5uAVhVEzA</t>
        </is>
      </c>
      <c r="F18" t="inlineStr">
        <is>
          <t>Ebuka discusses the evolving dynamics of gender roles and masculinity as more women earn more than men, seeking thoughts on this shift.</t>
        </is>
      </c>
      <c r="G18" t="inlineStr">
        <is>
          <t>The mentality shift is what I'm trying to get at. As a wrap-up to our fellow men about how... Because the world is changing, you're naturally going to meet more women now who earn more than you. The possibility of that happening is... But we're still in the space where it's almost emasculating. It takes away masculinity. Now women, they... But I want us to wrap up with that if anybody has any thoughts.</t>
        </is>
      </c>
      <c r="H18" t="inlineStr">
        <is>
          <t>The mentality shift is what I'm trying to get at. As a wrap-up to our fellow men about how... Because the world is changing, you're naturally going to meet more women now who earn more than you. The possibility of that happening is... But we're still in the space where it's almost emasculating. It takes away masculinity. Now women, they... But I want us to wrap up with that if anybody has any thoughts.</t>
        </is>
      </c>
      <c r="I18" t="inlineStr">
        <is>
          <t>English</t>
        </is>
      </c>
      <c r="J18" t="inlineStr">
        <is>
          <t>progressive</t>
        </is>
      </c>
      <c r="K18" t="inlineStr">
        <is>
          <t>["male_authority_provider", "economic_pressure"]</t>
        </is>
      </c>
      <c r="L18" t="inlineStr">
        <is>
          <t>neutral</t>
        </is>
      </c>
      <c r="M18" t="n">
        <v>3</v>
      </c>
      <c r="N18" t="inlineStr">
        <is>
          <t>["anticipation", "fear"]</t>
        </is>
      </c>
      <c r="O18" t="inlineStr">
        <is>
          <t>[]</t>
        </is>
      </c>
      <c r="P18" t="b">
        <v>1</v>
      </c>
      <c r="Q18" t="inlineStr">
        <is>
          <t>women</t>
        </is>
      </c>
      <c r="R18" t="n">
        <v>1</v>
      </c>
      <c r="S18" t="n">
        <v>0.1</v>
      </c>
      <c r="T18" t="inlineStr">
        <is>
          <t>[]</t>
        </is>
      </c>
      <c r="U18" t="inlineStr">
        <is>
          <t>role_prescription</t>
        </is>
      </c>
      <c r="V18" t="n">
        <v>1</v>
      </c>
      <c r="W18" t="inlineStr">
        <is>
          <t>["authority_subversion", "liberty_oppress"]</t>
        </is>
      </c>
      <c r="X18" t="inlineStr">
        <is>
          <t>traditional_order</t>
        </is>
      </c>
      <c r="Y18" t="inlineStr">
        <is>
          <t>regressive</t>
        </is>
      </c>
      <c r="Z18" t="inlineStr">
        <is>
          <t>Men need to adapt to changing gender roles.</t>
        </is>
      </c>
      <c r="AA18" t="inlineStr">
        <is>
          <t>no_argument</t>
        </is>
      </c>
      <c r="AB18" t="inlineStr"/>
    </row>
    <row r="19">
      <c r="A19" t="inlineStr">
        <is>
          <t>EBK_017</t>
        </is>
      </c>
      <c r="B19" t="inlineStr">
        <is>
          <t>Ebuka Obi-Uchendu</t>
        </is>
      </c>
      <c r="C19" t="inlineStr">
        <is>
          <t>YouTube (MENtality podcast — host)</t>
        </is>
      </c>
      <c r="D19" t="inlineStr">
        <is>
          <t>Podcast monologue / framing</t>
        </is>
      </c>
      <c r="E19" t="inlineStr">
        <is>
          <t>https://www.youtube.com/watch?v=mU5uAVhVEzA</t>
        </is>
      </c>
      <c r="F19" t="inlineStr">
        <is>
          <t>Ebuka Obi-Uchendu discusses societal pressures on men to hide vulnerabilities, referencing Nigerian culture and male communication norms.</t>
        </is>
      </c>
      <c r="G19" t="inlineStr">
        <is>
          <t>I think it was my first demon act in life. Because I was like, okay, so this is how this works, you know. But these are the kind of things that as a guy, you probably never tell your guys. They must laugh at you. And these are why men don't talk about these things. I guess it's just, you know, I don't know if anybody has personal stories. Maybe not this crazy, but.</t>
        </is>
      </c>
      <c r="H19" t="inlineStr">
        <is>
          <t>I think it was my first act of rebellion in life. I was like, okay, so this is how this works, you know? But these are the kinds of things that as a guy, you probably never share with your friends. They would laugh at you. And this is why men don't talk about these things. I guess it's just, you know, I don't know if anyone has personal stories. Maybe not this extreme, but.</t>
        </is>
      </c>
      <c r="I19" t="inlineStr">
        <is>
          <t>English</t>
        </is>
      </c>
      <c r="J19" t="inlineStr">
        <is>
          <t>progressive</t>
        </is>
      </c>
      <c r="K19" t="inlineStr">
        <is>
          <t>["male_emotional_life"]</t>
        </is>
      </c>
      <c r="L19" t="inlineStr">
        <is>
          <t>neutral</t>
        </is>
      </c>
      <c r="M19" t="n">
        <v>2</v>
      </c>
      <c r="N19" t="inlineStr">
        <is>
          <t>["sadness", "fear"]</t>
        </is>
      </c>
      <c r="O19" t="inlineStr">
        <is>
          <t>[]</t>
        </is>
      </c>
      <c r="P19" t="b">
        <v>0</v>
      </c>
      <c r="Q19" t="inlineStr">
        <is>
          <t>none</t>
        </is>
      </c>
      <c r="R19" t="n">
        <v>0</v>
      </c>
      <c r="S19" t="n">
        <v>0</v>
      </c>
      <c r="T19" t="inlineStr">
        <is>
          <t>[]</t>
        </is>
      </c>
      <c r="U19" t="inlineStr">
        <is>
          <t>none</t>
        </is>
      </c>
      <c r="V19" t="n">
        <v>0</v>
      </c>
      <c r="W19" t="inlineStr">
        <is>
          <t>["loyalty_betray", "liberty_oppress"]</t>
        </is>
      </c>
      <c r="X19" t="inlineStr">
        <is>
          <t>male_accountability</t>
        </is>
      </c>
      <c r="Y19" t="inlineStr">
        <is>
          <t>progressive</t>
        </is>
      </c>
      <c r="Z19" t="inlineStr">
        <is>
          <t>Men often don't share their feelings due to fear of judgment.</t>
        </is>
      </c>
      <c r="AA19" t="inlineStr">
        <is>
          <t>anecdote</t>
        </is>
      </c>
      <c r="AB19" t="inlineStr">
        <is>
          <t>Men might not share personal stories for fear of laughter.</t>
        </is>
      </c>
    </row>
    <row r="20">
      <c r="A20" t="inlineStr">
        <is>
          <t>EBK_011</t>
        </is>
      </c>
      <c r="B20" t="inlineStr">
        <is>
          <t>Ebuka Obi-Uchendu</t>
        </is>
      </c>
      <c r="C20" t="inlineStr">
        <is>
          <t>YouTube (MENtality podcast — host)</t>
        </is>
      </c>
      <c r="D20" t="inlineStr">
        <is>
          <t>Podcast monologue / framing</t>
        </is>
      </c>
      <c r="E20" t="inlineStr">
        <is>
          <t>https://www.youtube.com/watch?v=V_eHJfW87iA</t>
        </is>
      </c>
      <c r="F20" t="inlineStr">
        <is>
          <t>Ebuka Obi-Uchendu discusses evolving expectations for fathers by 2025, emphasizing the importance of being present beyond traditional provider roles.</t>
        </is>
      </c>
      <c r="G20" t="inlineStr">
        <is>
          <t>Yeah, kudos to them. But if I don't know, what do you, what do you, what are expectations of fathers in this, in 2025? We are, we have been through the way our fathers raised us. Some of us are becoming fathers now. What do you expect of today's fathers? But especially about being present. I think that's the one thing a lot of people want to see differently. Men already believe they should provide anyways. But being present, I think is the one push that a lot of fathers need to, or expect to do, do more with.</t>
        </is>
      </c>
      <c r="H20" t="inlineStr">
        <is>
          <t>Yeah, kudos to them. But if I don't know, what do you, what do you, what are expectations of fathers in this, in 2025? We are, we have been through the way our fathers raised us. Some of us are becoming fathers now. What do you expect of today's fathers? But especially about being present. I think that's the one thing a lot of people want to see differently. Men already believe they should provide anyways. But being present, I think is the one push that a lot of fathers need to, or expect to do, do more with.</t>
        </is>
      </c>
      <c r="I20" t="inlineStr">
        <is>
          <t>English</t>
        </is>
      </c>
      <c r="J20" t="inlineStr">
        <is>
          <t>progressive</t>
        </is>
      </c>
      <c r="K20" t="inlineStr">
        <is>
          <t>["fatherhood_parenting", "male_authority_provider"]</t>
        </is>
      </c>
      <c r="L20" t="inlineStr">
        <is>
          <t>neutral</t>
        </is>
      </c>
      <c r="M20" t="n">
        <v>3</v>
      </c>
      <c r="N20" t="inlineStr">
        <is>
          <t>["anticipation", "trust"]</t>
        </is>
      </c>
      <c r="O20" t="inlineStr">
        <is>
          <t>[]</t>
        </is>
      </c>
      <c r="P20" t="b">
        <v>0</v>
      </c>
      <c r="Q20" t="inlineStr">
        <is>
          <t>none</t>
        </is>
      </c>
      <c r="R20" t="n">
        <v>0</v>
      </c>
      <c r="S20" t="n">
        <v>0</v>
      </c>
      <c r="T20" t="inlineStr">
        <is>
          <t>[]</t>
        </is>
      </c>
      <c r="U20" t="inlineStr">
        <is>
          <t>none</t>
        </is>
      </c>
      <c r="V20" t="n">
        <v>0</v>
      </c>
      <c r="W20" t="inlineStr">
        <is>
          <t>["care_harm", "authority_subversion"]</t>
        </is>
      </c>
      <c r="X20" t="inlineStr">
        <is>
          <t>male_accountability</t>
        </is>
      </c>
      <c r="Y20" t="inlineStr">
        <is>
          <t>progressive</t>
        </is>
      </c>
      <c r="Z20" t="inlineStr">
        <is>
          <t>Fathers need to be more present in their children's lives.</t>
        </is>
      </c>
      <c r="AA20" t="inlineStr">
        <is>
          <t>no_argument</t>
        </is>
      </c>
      <c r="AB20" t="inlineStr"/>
    </row>
    <row r="21">
      <c r="A21" t="inlineStr">
        <is>
          <t>EBK_032</t>
        </is>
      </c>
      <c r="B21" t="inlineStr">
        <is>
          <t>Ebuka Obi-Uchendu</t>
        </is>
      </c>
      <c r="C21" t="inlineStr">
        <is>
          <t>YouTube (MENtality podcast — host)</t>
        </is>
      </c>
      <c r="D21" t="inlineStr">
        <is>
          <t>Podcast monologue / framing</t>
        </is>
      </c>
      <c r="E21" t="inlineStr">
        <is>
          <t>https://www.youtube.com/watch?v=7uLzlPGsiVo</t>
        </is>
      </c>
      <c r="F21" t="inlineStr">
        <is>
          <t>Ebuka discusses household roles, unspoken task division with his wife, and societal perceptions of male ego and female breadwinners in Nigerian homes.</t>
        </is>
      </c>
      <c r="G21" t="inlineStr">
        <is>
          <t>So I mean, I know I joke a lot about, I would like to be a household, but to be fair, I mean, my house is kind of like yours, you know, I do a big chunk of things, but my wife handles a lot of things as well, but it was kind of unspoken. We just kind of fell into certain, okay, this is what I do. And then she picks up a good chunk of things as well. But you know, what you mentioned about this wedding and just how life was, a lot of men are going through that, but they don't see it. There's statistics and data that shows that a lot of homes, the moms are actually the breadwinners, but people don't ever talk about it enough maybe. And you find that more than ever, it's because of the man's ego. Because the wife even protects that information because they don't want their husband to be seen a certain way.</t>
        </is>
      </c>
      <c r="H21" t="inlineStr">
        <is>
          <t>I joke a lot about wanting to be a househusband, but to be fair, my household is kind of like yours. I do a lot, but my wife also handles many things. It was unspoken; we just fell into certain roles. You mentioned weddings and how life was; many men are going through that but don't realize it. Statistics show that in many homes, the mothers are actually the breadwinners, but people don't talk about it enough. It often comes down to the man's ego, as wives tend to protect that information to avoid their husbands being seen in a certain light.</t>
        </is>
      </c>
      <c r="I21" t="inlineStr">
        <is>
          <t>English</t>
        </is>
      </c>
      <c r="J21" t="inlineStr">
        <is>
          <t>progressive</t>
        </is>
      </c>
      <c r="K21" t="inlineStr">
        <is>
          <t>["male_authority_provider", "economic_pressure"]</t>
        </is>
      </c>
      <c r="L21" t="inlineStr">
        <is>
          <t>mixed</t>
        </is>
      </c>
      <c r="M21" t="n">
        <v>4</v>
      </c>
      <c r="N21" t="inlineStr">
        <is>
          <t>["trust", "sadness"]</t>
        </is>
      </c>
      <c r="O21" t="inlineStr">
        <is>
          <t>[]</t>
        </is>
      </c>
      <c r="P21" t="b">
        <v>0</v>
      </c>
      <c r="Q21" t="inlineStr">
        <is>
          <t>none</t>
        </is>
      </c>
      <c r="R21" t="n">
        <v>0</v>
      </c>
      <c r="S21" t="n">
        <v>0</v>
      </c>
      <c r="T21" t="inlineStr">
        <is>
          <t>[]</t>
        </is>
      </c>
      <c r="U21" t="inlineStr">
        <is>
          <t>role_prescription</t>
        </is>
      </c>
      <c r="V21" t="n">
        <v>1</v>
      </c>
      <c r="W21" t="inlineStr">
        <is>
          <t>["fairness_cheat", "loyalty_betray"]</t>
        </is>
      </c>
      <c r="X21" t="inlineStr">
        <is>
          <t>economic_pragmatism</t>
        </is>
      </c>
      <c r="Y21" t="inlineStr">
        <is>
          <t>mixed</t>
        </is>
      </c>
      <c r="Z21" t="inlineStr">
        <is>
          <t>Household roles often fall into unspoken patterns.</t>
        </is>
      </c>
      <c r="AA21" t="inlineStr">
        <is>
          <t>appeal_to_data</t>
        </is>
      </c>
      <c r="AB21" t="inlineStr">
        <is>
          <t>Statistics show mothers are often the breadwinners.</t>
        </is>
      </c>
    </row>
    <row r="22">
      <c r="A22" t="inlineStr">
        <is>
          <t>SHO_027</t>
        </is>
      </c>
      <c r="B22" t="inlineStr">
        <is>
          <t>Shola</t>
        </is>
      </c>
      <c r="C22" t="inlineStr">
        <is>
          <t>X</t>
        </is>
      </c>
      <c r="D22" t="inlineStr">
        <is>
          <t>Tweet</t>
        </is>
      </c>
      <c r="E22">
        <f>HYPERLINK("https://x.com/itsSh0la/status/1651167535662788610","https://x.com/itsSh0la/status/1651167535662788610")</f>
        <v/>
      </c>
      <c r="F22" t="inlineStr">
        <is>
          <t>Shola suggests that being less available makes women value men more, contrasting 'bad guys' with 'nice guys'.</t>
        </is>
      </c>
      <c r="G22" t="inlineStr">
        <is>
          <t>Bad guys know how to play the game, they know when to give women their spaces, they let women chase them. That's why I always say "don't be too available for women, let them miss you" that way they'd value your presence more.</t>
        </is>
      </c>
      <c r="H22" t="inlineStr">
        <is>
          <t>Bad guys know how to play the game, they know when to give women their spaces, they let women chase them. That's why I always say "don't be too available for women, let them miss you" that way they'd value your presence more.</t>
        </is>
      </c>
      <c r="I22" t="inlineStr">
        <is>
          <t>English</t>
        </is>
      </c>
      <c r="J22" t="inlineStr">
        <is>
          <t>regressive</t>
        </is>
      </c>
      <c r="K22" t="inlineStr">
        <is>
          <t>["male_sexual_entitlement"]</t>
        </is>
      </c>
      <c r="L22" t="inlineStr">
        <is>
          <t>negative</t>
        </is>
      </c>
      <c r="M22" t="n">
        <v>3</v>
      </c>
      <c r="N22" t="inlineStr">
        <is>
          <t>["contempt", "disgust"]</t>
        </is>
      </c>
      <c r="O22" t="inlineStr">
        <is>
          <t>[]</t>
        </is>
      </c>
      <c r="P22" t="b">
        <v>1</v>
      </c>
      <c r="Q22" t="inlineStr">
        <is>
          <t>women</t>
        </is>
      </c>
      <c r="R22" t="n">
        <v>1</v>
      </c>
      <c r="S22" t="n">
        <v>0.4</v>
      </c>
      <c r="T22" t="inlineStr">
        <is>
          <t>["insult"]</t>
        </is>
      </c>
      <c r="U22" t="inlineStr">
        <is>
          <t>sexual_objectification</t>
        </is>
      </c>
      <c r="V22" t="n">
        <v>2</v>
      </c>
      <c r="W22" t="inlineStr">
        <is>
          <t>["fairness_cheat", "liberty_oppress"]</t>
        </is>
      </c>
      <c r="X22" t="inlineStr">
        <is>
          <t>male_victimhood</t>
        </is>
      </c>
      <c r="Y22" t="inlineStr">
        <is>
          <t>regressive</t>
        </is>
      </c>
      <c r="Z22" t="inlineStr">
        <is>
          <t>Bad guys know how to attract women by being less available.</t>
        </is>
      </c>
      <c r="AA22" t="inlineStr">
        <is>
          <t>no_argument</t>
        </is>
      </c>
      <c r="AB22" t="inlineStr"/>
    </row>
    <row r="23">
      <c r="A23" t="inlineStr">
        <is>
          <t>SHO_028</t>
        </is>
      </c>
      <c r="B23" t="inlineStr">
        <is>
          <t>Shola</t>
        </is>
      </c>
      <c r="C23" t="inlineStr">
        <is>
          <t>X</t>
        </is>
      </c>
      <c r="D23" t="inlineStr">
        <is>
          <t>Tweet</t>
        </is>
      </c>
      <c r="E23">
        <f>HYPERLINK("https://x.com/itsSh0la/status/1651167532152246280","https://x.com/itsSh0la/status/1651167532152246280")</f>
        <v/>
      </c>
      <c r="F23" t="inlineStr">
        <is>
          <t>Shola argues that 'nice guys' lose out because they are too available, unlike 'bad guys' who create scarcity.</t>
        </is>
      </c>
      <c r="G23" t="inlineStr">
        <is>
          <t>5. Nice guys are stalkers, too clingy: girls love attention a lot, so lack of attention will always make her come to you. But once she gets that from you, they see no need to chase you anymore. And that's where nice guys always lose it because they're always too available.</t>
        </is>
      </c>
      <c r="H23" t="inlineStr">
        <is>
          <t>Nice guys can be seen as stalkers and too clingy: girls crave attention, so if they don't get it, they will come to you. But once they receive that attention, they often feel no need to pursue you anymore. This is where nice guys typically fail because they are always too available.</t>
        </is>
      </c>
      <c r="I23" t="inlineStr">
        <is>
          <t>English</t>
        </is>
      </c>
      <c r="J23" t="inlineStr">
        <is>
          <t>regressive</t>
        </is>
      </c>
      <c r="K23" t="inlineStr">
        <is>
          <t>["male_sexual_entitlement"]</t>
        </is>
      </c>
      <c r="L23" t="inlineStr">
        <is>
          <t>negative</t>
        </is>
      </c>
      <c r="M23" t="n">
        <v>3</v>
      </c>
      <c r="N23" t="inlineStr">
        <is>
          <t>["sadness", "fear"]</t>
        </is>
      </c>
      <c r="O23" t="inlineStr">
        <is>
          <t>[]</t>
        </is>
      </c>
      <c r="P23" t="b">
        <v>1</v>
      </c>
      <c r="Q23" t="inlineStr">
        <is>
          <t>women</t>
        </is>
      </c>
      <c r="R23" t="n">
        <v>1</v>
      </c>
      <c r="S23" t="n">
        <v>0.3</v>
      </c>
      <c r="T23" t="inlineStr">
        <is>
          <t>["insult"]</t>
        </is>
      </c>
      <c r="U23" t="inlineStr">
        <is>
          <t>sexual_objectification</t>
        </is>
      </c>
      <c r="V23" t="n">
        <v>2</v>
      </c>
      <c r="W23" t="inlineStr">
        <is>
          <t>["fairness_cheat", "liberty_oppress"]</t>
        </is>
      </c>
      <c r="X23" t="inlineStr">
        <is>
          <t>male_victimhood</t>
        </is>
      </c>
      <c r="Y23" t="inlineStr">
        <is>
          <t>regressive</t>
        </is>
      </c>
      <c r="Z23" t="inlineStr">
        <is>
          <t>Nice guys fail because they are too available.</t>
        </is>
      </c>
      <c r="AA23" t="inlineStr">
        <is>
          <t>no_argument</t>
        </is>
      </c>
      <c r="AB23" t="inlineStr"/>
    </row>
    <row r="24">
      <c r="A24" t="inlineStr">
        <is>
          <t>SHO_048</t>
        </is>
      </c>
      <c r="B24" t="inlineStr">
        <is>
          <t>Shola</t>
        </is>
      </c>
      <c r="C24" t="inlineStr">
        <is>
          <t>X</t>
        </is>
      </c>
      <c r="D24" t="inlineStr">
        <is>
          <t>Tweet</t>
        </is>
      </c>
      <c r="E24">
        <f>HYPERLINK("https://x.com/itsSh0la/status/1641175498410672130","https://x.com/itsSh0la/status/1641175498410672130")</f>
        <v/>
      </c>
      <c r="F24" t="inlineStr">
        <is>
          <t>A tweet expressing approval of a method for dealing with women perceived as shameless, using a metaphorical 'king' endorsement.</t>
        </is>
      </c>
      <c r="G24" t="inlineStr">
        <is>
          <t>This is how you deal with shameIess women, a king in my book👑 https://t.co/KZN1ep8LbA</t>
        </is>
      </c>
      <c r="H24" t="inlineStr">
        <is>
          <t>This is how you deal with shameIess women, a king in my book👑 https://t.co/KZN1ep8LbA</t>
        </is>
      </c>
      <c r="I24" t="inlineStr">
        <is>
          <t>English</t>
        </is>
      </c>
      <c r="J24" t="inlineStr">
        <is>
          <t>regressive</t>
        </is>
      </c>
      <c r="K24" t="inlineStr">
        <is>
          <t>["female_blame", "male_sexual_entitlement"]</t>
        </is>
      </c>
      <c r="L24" t="inlineStr">
        <is>
          <t>negative</t>
        </is>
      </c>
      <c r="M24" t="n">
        <v>4</v>
      </c>
      <c r="N24" t="inlineStr">
        <is>
          <t>["contempt", "anger"]</t>
        </is>
      </c>
      <c r="O24" t="inlineStr">
        <is>
          <t>[{"text": "https://t.co/KZN1ep8LbA", "type": "HANDLE"}]</t>
        </is>
      </c>
      <c r="P24" t="b">
        <v>1</v>
      </c>
      <c r="Q24" t="inlineStr">
        <is>
          <t>women</t>
        </is>
      </c>
      <c r="R24" t="n">
        <v>2</v>
      </c>
      <c r="S24" t="n">
        <v>0.5</v>
      </c>
      <c r="T24" t="inlineStr">
        <is>
          <t>["insult"]</t>
        </is>
      </c>
      <c r="U24" t="inlineStr">
        <is>
          <t>hostile_misogyny</t>
        </is>
      </c>
      <c r="V24" t="n">
        <v>3</v>
      </c>
      <c r="W24" t="inlineStr">
        <is>
          <t>["sanctity_degrad", "fairness_cheat"]</t>
        </is>
      </c>
      <c r="X24" t="inlineStr">
        <is>
          <t>female_blame</t>
        </is>
      </c>
      <c r="Y24" t="inlineStr">
        <is>
          <t>regressive</t>
        </is>
      </c>
      <c r="Z24" t="inlineStr">
        <is>
          <t>Dealing with shameless women requires a strong approach.</t>
        </is>
      </c>
      <c r="AA24" t="inlineStr">
        <is>
          <t>no_argument</t>
        </is>
      </c>
      <c r="AB24" t="inlineStr"/>
    </row>
    <row r="25">
      <c r="A25" t="inlineStr">
        <is>
          <t>SHO_023</t>
        </is>
      </c>
      <c r="B25" t="inlineStr">
        <is>
          <t>Shola</t>
        </is>
      </c>
      <c r="C25" t="inlineStr">
        <is>
          <t>X</t>
        </is>
      </c>
      <c r="D25" t="inlineStr">
        <is>
          <t>Tweet</t>
        </is>
      </c>
      <c r="E25">
        <f>HYPERLINK("https://x.com/itsSh0la/status/1651911094334550016","https://x.com/itsSh0la/status/1651911094334550016")</f>
        <v/>
      </c>
      <c r="F25" t="inlineStr">
        <is>
          <t>Shola advises against taking women seriously if they lack boundaries with other men.</t>
        </is>
      </c>
      <c r="G25" t="inlineStr">
        <is>
          <t>@MindOfHeadking Fact, a woman who doesn't set boundaries when it comes to being accessible to other men shouldn't be taken seriously.</t>
        </is>
      </c>
      <c r="H25" t="inlineStr">
        <is>
          <t>@MindOfHeadking Fact, a woman who doesn't set boundaries when it comes to being accessible to other men shouldn't be taken seriously.</t>
        </is>
      </c>
      <c r="I25" t="inlineStr">
        <is>
          <t>English</t>
        </is>
      </c>
      <c r="J25" t="inlineStr">
        <is>
          <t>regressive</t>
        </is>
      </c>
      <c r="K25" t="inlineStr">
        <is>
          <t>["female_blame"]</t>
        </is>
      </c>
      <c r="L25" t="inlineStr">
        <is>
          <t>negative</t>
        </is>
      </c>
      <c r="M25" t="n">
        <v>4</v>
      </c>
      <c r="N25" t="inlineStr">
        <is>
          <t>["contempt", "anger"]</t>
        </is>
      </c>
      <c r="O25" t="inlineStr">
        <is>
          <t>[{"text": "@MindOfHeadking", "type": "HANDLE"}]</t>
        </is>
      </c>
      <c r="P25" t="b">
        <v>1</v>
      </c>
      <c r="Q25" t="inlineStr">
        <is>
          <t>women</t>
        </is>
      </c>
      <c r="R25" t="n">
        <v>2</v>
      </c>
      <c r="S25" t="n">
        <v>0.4</v>
      </c>
      <c r="T25" t="inlineStr">
        <is>
          <t>["insult", "identity_attack"]</t>
        </is>
      </c>
      <c r="U25" t="inlineStr">
        <is>
          <t>hostile_misogyny</t>
        </is>
      </c>
      <c r="V25" t="n">
        <v>2</v>
      </c>
      <c r="W25" t="inlineStr">
        <is>
          <t>["fairness_cheat", "authority_subversion"]</t>
        </is>
      </c>
      <c r="X25" t="inlineStr">
        <is>
          <t>female_blame</t>
        </is>
      </c>
      <c r="Y25" t="inlineStr">
        <is>
          <t>regressive</t>
        </is>
      </c>
      <c r="Z25" t="inlineStr">
        <is>
          <t>Women should set boundaries with other men.</t>
        </is>
      </c>
      <c r="AA25" t="inlineStr">
        <is>
          <t>appeal_to_data</t>
        </is>
      </c>
      <c r="AB25" t="inlineStr">
        <is>
          <t>A woman without boundaries shouldn't be taken seriously.</t>
        </is>
      </c>
    </row>
    <row r="26">
      <c r="A26" t="inlineStr">
        <is>
          <t>SHO_031</t>
        </is>
      </c>
      <c r="B26" t="inlineStr">
        <is>
          <t>Shola</t>
        </is>
      </c>
      <c r="C26" t="inlineStr">
        <is>
          <t>X</t>
        </is>
      </c>
      <c r="D26" t="inlineStr">
        <is>
          <t>Tweet</t>
        </is>
      </c>
      <c r="E26">
        <f>HYPERLINK("https://x.com/itsSh0la/status/1651167521314156544","https://x.com/itsSh0la/status/1651167521314156544")</f>
        <v/>
      </c>
      <c r="F26" t="inlineStr">
        <is>
          <t>Shola argues women prefer men desired by others, suggesting scarcity and competition in dating dynamics.</t>
        </is>
      </c>
      <c r="G26"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c r="H26"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c r="I26" t="inlineStr">
        <is>
          <t>English</t>
        </is>
      </c>
      <c r="J26" t="inlineStr">
        <is>
          <t>regressive</t>
        </is>
      </c>
      <c r="K26" t="inlineStr">
        <is>
          <t>["male_sexual_entitlement", "female_submission_role"]</t>
        </is>
      </c>
      <c r="L26" t="inlineStr">
        <is>
          <t>neutral</t>
        </is>
      </c>
      <c r="M26" t="n">
        <v>3</v>
      </c>
      <c r="N26" t="inlineStr">
        <is>
          <t>["sadness", "disgust"]</t>
        </is>
      </c>
      <c r="O26" t="inlineStr">
        <is>
          <t>[]</t>
        </is>
      </c>
      <c r="P26" t="b">
        <v>0</v>
      </c>
      <c r="Q26" t="inlineStr">
        <is>
          <t>women</t>
        </is>
      </c>
      <c r="R26" t="n">
        <v>1</v>
      </c>
      <c r="S26" t="n">
        <v>0.1</v>
      </c>
      <c r="T26" t="inlineStr">
        <is>
          <t>[]</t>
        </is>
      </c>
      <c r="U26" t="inlineStr">
        <is>
          <t>hostile_misogyny</t>
        </is>
      </c>
      <c r="V26" t="n">
        <v>2</v>
      </c>
      <c r="W26" t="inlineStr">
        <is>
          <t>["fairness_cheat", "loyalty_betray"]</t>
        </is>
      </c>
      <c r="X26" t="inlineStr">
        <is>
          <t>female_blame</t>
        </is>
      </c>
      <c r="Y26" t="inlineStr">
        <is>
          <t>regressive</t>
        </is>
      </c>
      <c r="Z26" t="inlineStr">
        <is>
          <t>Women prefer men who are desired by others.</t>
        </is>
      </c>
      <c r="AA26" t="inlineStr">
        <is>
          <t>appeal_to_data</t>
        </is>
      </c>
      <c r="AB26" t="inlineStr">
        <is>
          <t>Women are attracted to men who have options and are wanted by other women.</t>
        </is>
      </c>
    </row>
    <row r="27">
      <c r="A27" t="inlineStr">
        <is>
          <t>WIZ_030</t>
        </is>
      </c>
      <c r="B27" t="inlineStr">
        <is>
          <t>Wizarab</t>
        </is>
      </c>
      <c r="C27" t="inlineStr">
        <is>
          <t>X</t>
        </is>
      </c>
      <c r="D27" t="inlineStr">
        <is>
          <t>Tweet</t>
        </is>
      </c>
      <c r="E27">
        <f>HYPERLINK("https://x.com/Wizarab10/status/1641887533855395854","https://x.com/Wizarab10/status/1641887533855395854")</f>
        <v/>
      </c>
      <c r="F27" t="inlineStr">
        <is>
          <t>The tweet discusses personal deal breakers in relationships, specifically addressing infidelity and the importance of honesty.</t>
        </is>
      </c>
      <c r="G27" t="inlineStr">
        <is>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is>
      </c>
      <c r="H27" t="inlineStr">
        <is>
          <t>If cheating is not a deal breaker for you, that's fine. But you don't have to pretend. I'm sure you have your own deal breakers and enjoy other benefits that work for you in your marriage. You just have to fire the sales girl. She crossed a line. Read @nwaoma007's piece below https://t.co/s1OPQR4cUM</t>
        </is>
      </c>
      <c r="I27" t="inlineStr">
        <is>
          <t>English</t>
        </is>
      </c>
      <c r="J27" t="inlineStr">
        <is>
          <t>regressive</t>
        </is>
      </c>
      <c r="K27" t="inlineStr">
        <is>
          <t>["marriage_relationships", "male_sexual_entitlement"]</t>
        </is>
      </c>
      <c r="L27" t="inlineStr">
        <is>
          <t>mixed</t>
        </is>
      </c>
      <c r="M27" t="n">
        <v>4</v>
      </c>
      <c r="N27" t="inlineStr">
        <is>
          <t>["anger", "contempt"]</t>
        </is>
      </c>
      <c r="O27" t="inlineStr">
        <is>
          <t>[{"text": "@nwaoma007", "type": "HANDLE"}]</t>
        </is>
      </c>
      <c r="P27" t="b">
        <v>0</v>
      </c>
      <c r="Q27" t="inlineStr">
        <is>
          <t>none</t>
        </is>
      </c>
      <c r="R27" t="n">
        <v>0</v>
      </c>
      <c r="S27" t="n">
        <v>0</v>
      </c>
      <c r="T27" t="inlineStr">
        <is>
          <t>[]</t>
        </is>
      </c>
      <c r="U27" t="inlineStr">
        <is>
          <t>none</t>
        </is>
      </c>
      <c r="V27" t="n">
        <v>0</v>
      </c>
      <c r="W27" t="inlineStr">
        <is>
          <t>["fairness_cheat", "loyalty_betray"]</t>
        </is>
      </c>
      <c r="X27" t="inlineStr">
        <is>
          <t>male_accountability</t>
        </is>
      </c>
      <c r="Y27" t="inlineStr">
        <is>
          <t>progressive</t>
        </is>
      </c>
      <c r="Z27" t="inlineStr">
        <is>
          <t>Cheating can be acceptable if it aligns with personal deal breakers.</t>
        </is>
      </c>
      <c r="AA27" t="inlineStr">
        <is>
          <t>no_argument</t>
        </is>
      </c>
      <c r="AB27" t="inlineStr"/>
    </row>
    <row r="28">
      <c r="A28" t="inlineStr">
        <is>
          <t>WIZ_005</t>
        </is>
      </c>
      <c r="B28" t="inlineStr">
        <is>
          <t>Wizarab</t>
        </is>
      </c>
      <c r="C28" t="inlineStr">
        <is>
          <t>X</t>
        </is>
      </c>
      <c r="D28" t="inlineStr">
        <is>
          <t>Tweet</t>
        </is>
      </c>
      <c r="E28">
        <f>HYPERLINK("https://x.com/Wizarab10/status/1663878777707847682","https://x.com/Wizarab10/status/1663878777707847682")</f>
        <v/>
      </c>
      <c r="F28" t="inlineStr">
        <is>
          <t>Criticizes leaving a partner for socioeconomic advancement, highlighting relationship and status dynamics.</t>
        </is>
      </c>
      <c r="G28" t="inlineStr">
        <is>
          <t>Life don better for you and you want to dump him because "we are not on the same level." He has done a lot but he should go and get his type because you want to shoot up. SMH You're not a good person. It is what it is sha. https://t.co/tSnnFKrbwb</t>
        </is>
      </c>
      <c r="H28" t="inlineStr">
        <is>
          <t>Life has gotten better for you, and you want to dump him because "we are not on the same level." He has done a lot, but you think he should go find someone like him because you want to move up. SMH You're not a good person. It is what it is.</t>
        </is>
      </c>
      <c r="I28" t="inlineStr">
        <is>
          <t>Nigerian Pidgin</t>
        </is>
      </c>
      <c r="J28" t="inlineStr">
        <is>
          <t>regressive</t>
        </is>
      </c>
      <c r="K28" t="inlineStr">
        <is>
          <t>["female_blame", "male_authority_provider"]</t>
        </is>
      </c>
      <c r="L28" t="inlineStr">
        <is>
          <t>negative</t>
        </is>
      </c>
      <c r="M28" t="n">
        <v>5</v>
      </c>
      <c r="N28" t="inlineStr">
        <is>
          <t>["anger", "disgust"]</t>
        </is>
      </c>
      <c r="O28" t="inlineStr">
        <is>
          <t>[]</t>
        </is>
      </c>
      <c r="P28" t="b">
        <v>0</v>
      </c>
      <c r="Q28" t="inlineStr">
        <is>
          <t>none</t>
        </is>
      </c>
      <c r="R28" t="n">
        <v>0</v>
      </c>
      <c r="S28" t="n">
        <v>0.2</v>
      </c>
      <c r="T28" t="inlineStr">
        <is>
          <t>["insult"]</t>
        </is>
      </c>
      <c r="U28" t="inlineStr">
        <is>
          <t>victim_blaming</t>
        </is>
      </c>
      <c r="V28" t="n">
        <v>2</v>
      </c>
      <c r="W28" t="inlineStr">
        <is>
          <t>["fairness_cheat", "care_harm"]</t>
        </is>
      </c>
      <c r="X28" t="inlineStr">
        <is>
          <t>female_blame</t>
        </is>
      </c>
      <c r="Y28" t="inlineStr">
        <is>
          <t>regressive</t>
        </is>
      </c>
      <c r="Z28" t="inlineStr">
        <is>
          <t>Leaving someone for personal advancement is morally wrong.</t>
        </is>
      </c>
      <c r="AA28" t="inlineStr">
        <is>
          <t>appeal_to_authority</t>
        </is>
      </c>
      <c r="AB28" t="inlineStr">
        <is>
          <t>The speaker asserts that wanting to move up makes one a bad person.</t>
        </is>
      </c>
    </row>
    <row r="29">
      <c r="A29" t="inlineStr">
        <is>
          <t>WIZ_027</t>
        </is>
      </c>
      <c r="B29" t="inlineStr">
        <is>
          <t>Wizarab</t>
        </is>
      </c>
      <c r="C29" t="inlineStr">
        <is>
          <t>X</t>
        </is>
      </c>
      <c r="D29" t="inlineStr">
        <is>
          <t>Tweet</t>
        </is>
      </c>
      <c r="E29">
        <f>HYPERLINK("https://x.com/Wizarab10/status/1652603868771938306","https://x.com/Wizarab10/status/1652603868771938306")</f>
        <v/>
      </c>
      <c r="F29" t="inlineStr">
        <is>
          <t>Questions how many times a woman can refuse sex before a man loses interest, implying expectations on women's sexual availability.</t>
        </is>
      </c>
      <c r="G29" t="inlineStr">
        <is>
          <t>@ariremako01 It is not about that instance alone. How many consecutive times will she deny you sex before you lose interest in having sex with her completely? How many consecutive times will she refused and you sleep off before you lose interest in sex with her?</t>
        </is>
      </c>
      <c r="H29" t="inlineStr">
        <is>
          <t>@ariremako01 It's not just about that one instance. How many times in a row will she deny you sex before you completely lose interest in having sex with her? How many times will she refuse and you fall asleep before you lose interest in sex with her?</t>
        </is>
      </c>
      <c r="I29" t="inlineStr">
        <is>
          <t>Mixed (Pidgin + English)</t>
        </is>
      </c>
      <c r="J29" t="inlineStr">
        <is>
          <t>regressive</t>
        </is>
      </c>
      <c r="K29" t="inlineStr">
        <is>
          <t>["male_sexual_entitlement", "female_submission_role"]</t>
        </is>
      </c>
      <c r="L29" t="inlineStr">
        <is>
          <t>negative</t>
        </is>
      </c>
      <c r="M29" t="n">
        <v>4</v>
      </c>
      <c r="N29" t="inlineStr">
        <is>
          <t>["sadness", "anger"]</t>
        </is>
      </c>
      <c r="O29" t="inlineStr">
        <is>
          <t>[{"text": "@ariremako01", "type": "HANDLE"}]</t>
        </is>
      </c>
      <c r="P29" t="b">
        <v>0</v>
      </c>
      <c r="Q29" t="inlineStr">
        <is>
          <t>women</t>
        </is>
      </c>
      <c r="R29" t="n">
        <v>1</v>
      </c>
      <c r="S29" t="n">
        <v>0.3</v>
      </c>
      <c r="T29" t="inlineStr">
        <is>
          <t>[]</t>
        </is>
      </c>
      <c r="U29" t="inlineStr">
        <is>
          <t>sexual_objectification</t>
        </is>
      </c>
      <c r="V29" t="n">
        <v>2</v>
      </c>
      <c r="W29" t="inlineStr">
        <is>
          <t>["care_harm", "fairness_cheat"]</t>
        </is>
      </c>
      <c r="X29" t="inlineStr">
        <is>
          <t>male_victimhood</t>
        </is>
      </c>
      <c r="Y29" t="inlineStr">
        <is>
          <t>regressive</t>
        </is>
      </c>
      <c r="Z29" t="inlineStr">
        <is>
          <t>Repeated sexual denial can lead to loss of interest.</t>
        </is>
      </c>
      <c r="AA29" t="inlineStr">
        <is>
          <t>rhetorical_question</t>
        </is>
      </c>
      <c r="AB29" t="inlineStr">
        <is>
          <t>Questions the frequency of denial before interest wanes.</t>
        </is>
      </c>
    </row>
    <row r="30">
      <c r="A30" t="inlineStr">
        <is>
          <t>WIZ_031</t>
        </is>
      </c>
      <c r="B30" t="inlineStr">
        <is>
          <t>Wizarab</t>
        </is>
      </c>
      <c r="C30" t="inlineStr">
        <is>
          <t>X</t>
        </is>
      </c>
      <c r="D30" t="inlineStr">
        <is>
          <t>Tweet</t>
        </is>
      </c>
      <c r="E30">
        <f>HYPERLINK("https://x.com/Wizarab10/status/1641855732931756033","https://x.com/Wizarab10/status/1641855732931756033")</f>
        <v/>
      </c>
      <c r="F30" t="inlineStr">
        <is>
          <t>The tweet discusses gender bias in accusations of sexual coercion, suggesting women also engage in coercive behavior.</t>
        </is>
      </c>
      <c r="G30" t="inlineStr">
        <is>
          <t>The only reason this issue has polarity is because na [it is only] only one gender dem dey indict [they are indicting]. But if we look at it critically, you cant tell who begs for sex more because women dey beg [are begging] gan [a lot]. This begging you want to force into a criminal offence will soon spin into financial coercion.</t>
        </is>
      </c>
      <c r="H30" t="inlineStr">
        <is>
          <t>The only reason this issue has two sides is that they are only indicting one gender. But if we look at it critically, you can't tell who begs for sex more because women are begging a lot. This begging you want to turn into a criminal offense will soon lead to financial coercion.</t>
        </is>
      </c>
      <c r="I30" t="inlineStr">
        <is>
          <t>Mixed (Pidgin + English)</t>
        </is>
      </c>
      <c r="J30" t="inlineStr">
        <is>
          <t>regressive</t>
        </is>
      </c>
      <c r="K30" t="inlineStr">
        <is>
          <t>["male_sexual_entitlement", "female_blame"]</t>
        </is>
      </c>
      <c r="L30" t="inlineStr">
        <is>
          <t>negative</t>
        </is>
      </c>
      <c r="M30" t="n">
        <v>4</v>
      </c>
      <c r="N30" t="inlineStr">
        <is>
          <t>["anger", "disgust"]</t>
        </is>
      </c>
      <c r="O30" t="inlineStr">
        <is>
          <t>[]</t>
        </is>
      </c>
      <c r="P30" t="b">
        <v>1</v>
      </c>
      <c r="Q30" t="inlineStr">
        <is>
          <t>women</t>
        </is>
      </c>
      <c r="R30" t="n">
        <v>2</v>
      </c>
      <c r="S30" t="n">
        <v>0.4</v>
      </c>
      <c r="T30" t="inlineStr">
        <is>
          <t>[]</t>
        </is>
      </c>
      <c r="U30" t="inlineStr">
        <is>
          <t>hostile_misogyny</t>
        </is>
      </c>
      <c r="V30" t="n">
        <v>2</v>
      </c>
      <c r="W30" t="inlineStr">
        <is>
          <t>["fairness_cheat", "liberty_oppress"]</t>
        </is>
      </c>
      <c r="X30" t="inlineStr">
        <is>
          <t>female_blame</t>
        </is>
      </c>
      <c r="Y30" t="inlineStr">
        <is>
          <t>regressive</t>
        </is>
      </c>
      <c r="Z30" t="inlineStr">
        <is>
          <t>The issue of sexual begging is misrepresented by gender bias.</t>
        </is>
      </c>
      <c r="AA30" t="inlineStr">
        <is>
          <t>appeal_to_data</t>
        </is>
      </c>
      <c r="AB30" t="inlineStr">
        <is>
          <t>Both genders engage in begging, complicating the narrative.</t>
        </is>
      </c>
    </row>
    <row r="31">
      <c r="A31" t="inlineStr">
        <is>
          <t>WIZ_033</t>
        </is>
      </c>
      <c r="B31" t="inlineStr">
        <is>
          <t>Wizarab</t>
        </is>
      </c>
      <c r="C31" t="inlineStr">
        <is>
          <t>X</t>
        </is>
      </c>
      <c r="D31" t="inlineStr">
        <is>
          <t>Tweet</t>
        </is>
      </c>
      <c r="E31">
        <f>HYPERLINK("https://x.com/Wizarab10/status/1641792600863645696","https://x.com/Wizarab10/status/1641792600863645696")</f>
        <v/>
      </c>
      <c r="F31" t="inlineStr">
        <is>
          <t>The tweet advises distrust of someone emotionally involved with friends, questioning the sincerity of their relationship.</t>
        </is>
      </c>
      <c r="G31" t="inlineStr">
        <is>
          <t>Someone hoping around between friends cannot be trusted. Find someone else. She claimed they did not have sex and you believed? What about the emotional connection during the existence of the relationship. You should get more info from your guy too. https://t.co/rLXkr7TsYb</t>
        </is>
      </c>
      <c r="H31" t="inlineStr">
        <is>
          <t>Someone who hops around between friends cannot be trusted. Find someone else. She claimed they did not have sex, and you believed her? What about the emotional connection during the relationship? You should get more information from your guy too. https://t.co/rLXkr7TsYb</t>
        </is>
      </c>
      <c r="I31" t="inlineStr">
        <is>
          <t>English</t>
        </is>
      </c>
      <c r="J31" t="inlineStr">
        <is>
          <t>regressive</t>
        </is>
      </c>
      <c r="K31" t="inlineStr">
        <is>
          <t>["male_sexual_entitlement", "female_blame"]</t>
        </is>
      </c>
      <c r="L31" t="inlineStr">
        <is>
          <t>negative</t>
        </is>
      </c>
      <c r="M31" t="n">
        <v>4</v>
      </c>
      <c r="N31" t="inlineStr">
        <is>
          <t>["trust", "disgust"]</t>
        </is>
      </c>
      <c r="O31" t="inlineStr">
        <is>
          <t>[]</t>
        </is>
      </c>
      <c r="P31" t="b">
        <v>0</v>
      </c>
      <c r="Q31" t="inlineStr">
        <is>
          <t>none</t>
        </is>
      </c>
      <c r="R31" t="n">
        <v>0</v>
      </c>
      <c r="S31" t="n">
        <v>0.1</v>
      </c>
      <c r="T31" t="inlineStr">
        <is>
          <t>[]</t>
        </is>
      </c>
      <c r="U31" t="inlineStr">
        <is>
          <t>none</t>
        </is>
      </c>
      <c r="V31" t="n">
        <v>0</v>
      </c>
      <c r="W31" t="inlineStr">
        <is>
          <t>["loyalty_betray", "fairness_cheat"]</t>
        </is>
      </c>
      <c r="X31" t="inlineStr">
        <is>
          <t>male_accountability</t>
        </is>
      </c>
      <c r="Y31" t="inlineStr">
        <is>
          <t>progressive</t>
        </is>
      </c>
      <c r="Z31" t="inlineStr">
        <is>
          <t>Trust issues arise from emotional connections in relationships.</t>
        </is>
      </c>
      <c r="AA31" t="inlineStr">
        <is>
          <t>anecdote</t>
        </is>
      </c>
      <c r="AB31" t="inlineStr">
        <is>
          <t>Suggests that emotional connections should be scrutinized for trust.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2026-05-06T19:12:31Z</dcterms:created>
  <dcterms:modified xmlns:dcterms="http://purl.org/dc/terms/" xmlns:xsi="http://www.w3.org/2001/XMLSchema-instance" xsi:type="dcterms:W3CDTF">2026-05-06T19:12:31Z</dcterms:modified>
</cp:coreProperties>
</file>